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업무\내부서류\wlwld\대림에스엠\2026년\"/>
    </mc:Choice>
  </mc:AlternateContent>
  <xr:revisionPtr revIDLastSave="0" documentId="13_ncr:1_{D3CE7255-9FDF-4EAD-AAC2-2565B2A3608B}" xr6:coauthVersionLast="47" xr6:coauthVersionMax="47" xr10:uidLastSave="{00000000-0000-0000-0000-000000000000}"/>
  <bookViews>
    <workbookView xWindow="-120" yWindow="-120" windowWidth="38640" windowHeight="21120" activeTab="1" xr2:uid="{6207B676-40F6-4A1E-ACB7-9BAE3B8A5423}"/>
  </bookViews>
  <sheets>
    <sheet name="기본설정" sheetId="1" r:id="rId1"/>
    <sheet name="HOME" sheetId="2" r:id="rId2"/>
    <sheet name="DB_연차추가공제" sheetId="6" r:id="rId3"/>
    <sheet name="DB_휴가사용" sheetId="4" r:id="rId4"/>
    <sheet name="사원별현황" sheetId="7" r:id="rId5"/>
    <sheet name="연차정산서" sheetId="8" r:id="rId6"/>
    <sheet name="연간현황" sheetId="9" r:id="rId7"/>
    <sheet name="연차촉진통지서" sheetId="10" r:id="rId8"/>
    <sheet name="지정통보서" sheetId="11" r:id="rId9"/>
    <sheet name="사용계획서(근로자용)" sheetId="12" r:id="rId10"/>
    <sheet name="DB_연차수당지급" sheetId="5" r:id="rId11"/>
    <sheet name="setting" sheetId="3" state="veryHidden" r:id="rId12"/>
  </sheets>
  <functionGroups builtInGroupCount="19"/>
  <definedNames>
    <definedName name="_xlnm._FilterDatabase" localSheetId="1" hidden="1">HOME!$B$6:$AC$466</definedName>
    <definedName name="_xlnm.Criteria" localSheetId="11">setting!$C$1:$C$2</definedName>
    <definedName name="_xlnm.Extract" localSheetId="11">setting!$E$1:$J$1</definedName>
    <definedName name="grp_3">"TextBox 13,타원 99,그래픽 100"</definedName>
    <definedName name="List_M">setting!$A$43:$A$54</definedName>
    <definedName name="List_Y">setting!$A$2:$A$42</definedName>
    <definedName name="_xlnm.Print_Area" localSheetId="10">DB_연차수당지급!$B$1:$J$38</definedName>
    <definedName name="_xlnm.Print_Area" localSheetId="2">DB_연차추가공제!$B$1:$H$31</definedName>
    <definedName name="_xlnm.Print_Area" localSheetId="3">DB_휴가사용!$B$1:$J$48</definedName>
    <definedName name="_xlnm.Print_Area" localSheetId="1">HOME!$B$6:$AC$466</definedName>
    <definedName name="_xlnm.Print_Area" localSheetId="9">'사용계획서(근로자용)'!$A$1:$F$29</definedName>
    <definedName name="_xlnm.Print_Area" localSheetId="4">사원별현황!$B$1:$N$28</definedName>
    <definedName name="_xlnm.Print_Area" localSheetId="6">연간현황!$A$1:$AI$30</definedName>
    <definedName name="_xlnm.Print_Area" localSheetId="5">연차정산서!$B$1:$M$26</definedName>
    <definedName name="_xlnm.Print_Area" localSheetId="8">지정통보서!$A$1:$G$29</definedName>
    <definedName name="_xlnm.Print_Titles" localSheetId="10">DB_연차수당지급!$2:$2</definedName>
    <definedName name="_xlnm.Print_Titles" localSheetId="2">DB_연차추가공제!$2:$2</definedName>
    <definedName name="_xlnm.Print_Titles" localSheetId="3">DB_휴가사용!$2:$2</definedName>
    <definedName name="_xlnm.Print_Titles" localSheetId="4">사원별현황!$2:$2</definedName>
    <definedName name="_xlnm.Print_Titles" localSheetId="5">연차정산서!$6:$7</definedName>
    <definedName name="항목">OFFSET(표1[[#Headers],[휴가구분]],1,0,COUNTA(표1[휴가구분]))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4" i="2" l="1"/>
  <c r="O24" i="2" s="1"/>
  <c r="AB24" i="2"/>
  <c r="L466" i="2"/>
  <c r="O466" i="2" s="1"/>
  <c r="AB466" i="2"/>
  <c r="L465" i="2"/>
  <c r="O465" i="2" s="1"/>
  <c r="AB465" i="2"/>
  <c r="M11" i="8"/>
  <c r="I11" i="8"/>
  <c r="I3" i="8" s="1"/>
  <c r="H11" i="8"/>
  <c r="H3" i="8" s="1"/>
  <c r="F11" i="8"/>
  <c r="F3" i="8" s="1"/>
  <c r="E11" i="8"/>
  <c r="E3" i="8" s="1"/>
  <c r="D11" i="8"/>
  <c r="D3" i="8" s="1"/>
  <c r="J10" i="8"/>
  <c r="G10" i="8"/>
  <c r="K10" i="8" s="1"/>
  <c r="J9" i="8"/>
  <c r="G9" i="8"/>
  <c r="J8" i="8"/>
  <c r="J11" i="8" s="1"/>
  <c r="J3" i="8" s="1"/>
  <c r="G8" i="8"/>
  <c r="G11" i="8" s="1"/>
  <c r="G3" i="8" s="1"/>
  <c r="L23" i="2"/>
  <c r="O23" i="2" s="1"/>
  <c r="AB23" i="2"/>
  <c r="L464" i="2"/>
  <c r="O464" i="2" s="1"/>
  <c r="AB464" i="2"/>
  <c r="L463" i="2"/>
  <c r="O463" i="2" s="1"/>
  <c r="AB463" i="2"/>
  <c r="N4" i="7"/>
  <c r="K4" i="7"/>
  <c r="J4" i="7"/>
  <c r="H4" i="7"/>
  <c r="G4" i="7"/>
  <c r="F4" i="7"/>
  <c r="L3" i="7"/>
  <c r="L4" i="7" s="1"/>
  <c r="I3" i="7"/>
  <c r="I4" i="7" s="1"/>
  <c r="L453" i="2"/>
  <c r="O453" i="2" s="1"/>
  <c r="L454" i="2"/>
  <c r="O454" i="2" s="1"/>
  <c r="L455" i="2"/>
  <c r="O455" i="2" s="1"/>
  <c r="L456" i="2"/>
  <c r="O456" i="2" s="1"/>
  <c r="L457" i="2"/>
  <c r="O457" i="2" s="1"/>
  <c r="L458" i="2"/>
  <c r="O458" i="2" s="1"/>
  <c r="L459" i="2"/>
  <c r="O459" i="2" s="1"/>
  <c r="L460" i="2"/>
  <c r="O460" i="2" s="1"/>
  <c r="L461" i="2"/>
  <c r="O461" i="2" s="1"/>
  <c r="L462" i="2"/>
  <c r="O462" i="2" s="1"/>
  <c r="AB453" i="2"/>
  <c r="AB454" i="2"/>
  <c r="AB455" i="2"/>
  <c r="AB456" i="2"/>
  <c r="AB457" i="2"/>
  <c r="AB458" i="2"/>
  <c r="AB459" i="2"/>
  <c r="AB460" i="2"/>
  <c r="AB461" i="2"/>
  <c r="AB462" i="2"/>
  <c r="K9" i="8" l="1"/>
  <c r="K8" i="8"/>
  <c r="K11" i="8" s="1"/>
  <c r="K3" i="8" s="1"/>
  <c r="M3" i="7"/>
  <c r="M4" i="7" s="1"/>
  <c r="L22" i="2"/>
  <c r="O22" i="2" s="1"/>
  <c r="AB22" i="2"/>
  <c r="L21" i="2"/>
  <c r="O21" i="2" s="1"/>
  <c r="AB21" i="2"/>
  <c r="L452" i="2"/>
  <c r="O452" i="2" s="1"/>
  <c r="AB452" i="2"/>
  <c r="L451" i="2" l="1"/>
  <c r="O451" i="2" s="1"/>
  <c r="AB451" i="2"/>
  <c r="L450" i="2"/>
  <c r="O450" i="2" s="1"/>
  <c r="AB450" i="2"/>
  <c r="L20" i="2"/>
  <c r="O20" i="2" s="1"/>
  <c r="AB20" i="2"/>
  <c r="L440" i="2"/>
  <c r="O440" i="2" s="1"/>
  <c r="L441" i="2"/>
  <c r="O441" i="2" s="1"/>
  <c r="L442" i="2"/>
  <c r="O442" i="2" s="1"/>
  <c r="L443" i="2"/>
  <c r="O443" i="2" s="1"/>
  <c r="L444" i="2"/>
  <c r="O444" i="2" s="1"/>
  <c r="L445" i="2"/>
  <c r="O445" i="2" s="1"/>
  <c r="L446" i="2"/>
  <c r="O446" i="2" s="1"/>
  <c r="L447" i="2"/>
  <c r="O447" i="2" s="1"/>
  <c r="L448" i="2"/>
  <c r="O448" i="2" s="1"/>
  <c r="L449" i="2"/>
  <c r="O449" i="2" s="1"/>
  <c r="AB440" i="2"/>
  <c r="AB441" i="2"/>
  <c r="AB442" i="2"/>
  <c r="AB443" i="2"/>
  <c r="AB444" i="2"/>
  <c r="AB445" i="2"/>
  <c r="AB446" i="2"/>
  <c r="AB447" i="2"/>
  <c r="AB448" i="2"/>
  <c r="AB449" i="2"/>
  <c r="L430" i="2"/>
  <c r="O430" i="2" s="1"/>
  <c r="L431" i="2"/>
  <c r="O431" i="2" s="1"/>
  <c r="L432" i="2"/>
  <c r="O432" i="2" s="1"/>
  <c r="L433" i="2"/>
  <c r="O433" i="2" s="1"/>
  <c r="L434" i="2"/>
  <c r="O434" i="2" s="1"/>
  <c r="L435" i="2"/>
  <c r="O435" i="2" s="1"/>
  <c r="L436" i="2"/>
  <c r="O436" i="2" s="1"/>
  <c r="L437" i="2"/>
  <c r="O437" i="2" s="1"/>
  <c r="L438" i="2"/>
  <c r="O438" i="2" s="1"/>
  <c r="L439" i="2"/>
  <c r="O439" i="2" s="1"/>
  <c r="AB430" i="2"/>
  <c r="AB431" i="2"/>
  <c r="AB432" i="2"/>
  <c r="AB433" i="2"/>
  <c r="AB434" i="2"/>
  <c r="AB435" i="2"/>
  <c r="AB436" i="2"/>
  <c r="AB437" i="2"/>
  <c r="AB438" i="2"/>
  <c r="AB439" i="2"/>
  <c r="L420" i="2"/>
  <c r="O420" i="2" s="1"/>
  <c r="L421" i="2"/>
  <c r="O421" i="2" s="1"/>
  <c r="L422" i="2"/>
  <c r="O422" i="2" s="1"/>
  <c r="L423" i="2"/>
  <c r="O423" i="2" s="1"/>
  <c r="L424" i="2"/>
  <c r="O424" i="2" s="1"/>
  <c r="L425" i="2"/>
  <c r="O425" i="2" s="1"/>
  <c r="L426" i="2"/>
  <c r="O426" i="2" s="1"/>
  <c r="L427" i="2"/>
  <c r="O427" i="2" s="1"/>
  <c r="L428" i="2"/>
  <c r="O428" i="2" s="1"/>
  <c r="L429" i="2"/>
  <c r="O429" i="2" s="1"/>
  <c r="AB420" i="2"/>
  <c r="AB421" i="2"/>
  <c r="AB422" i="2"/>
  <c r="AB423" i="2"/>
  <c r="AB424" i="2"/>
  <c r="AB425" i="2"/>
  <c r="AB426" i="2"/>
  <c r="AB427" i="2"/>
  <c r="AB428" i="2"/>
  <c r="AB429" i="2"/>
  <c r="L410" i="2"/>
  <c r="O410" i="2" s="1"/>
  <c r="L411" i="2"/>
  <c r="O411" i="2" s="1"/>
  <c r="L412" i="2"/>
  <c r="O412" i="2" s="1"/>
  <c r="L413" i="2"/>
  <c r="O413" i="2" s="1"/>
  <c r="L414" i="2"/>
  <c r="O414" i="2" s="1"/>
  <c r="L415" i="2"/>
  <c r="O415" i="2" s="1"/>
  <c r="L416" i="2"/>
  <c r="O416" i="2" s="1"/>
  <c r="L417" i="2"/>
  <c r="O417" i="2" s="1"/>
  <c r="L418" i="2"/>
  <c r="O418" i="2" s="1"/>
  <c r="L419" i="2"/>
  <c r="O419" i="2" s="1"/>
  <c r="AB410" i="2"/>
  <c r="AB411" i="2"/>
  <c r="AB412" i="2"/>
  <c r="AB413" i="2"/>
  <c r="AB414" i="2"/>
  <c r="AB415" i="2"/>
  <c r="AB416" i="2"/>
  <c r="AB417" i="2"/>
  <c r="AB418" i="2"/>
  <c r="AB419" i="2"/>
  <c r="L400" i="2"/>
  <c r="O400" i="2" s="1"/>
  <c r="L401" i="2"/>
  <c r="O401" i="2" s="1"/>
  <c r="L402" i="2"/>
  <c r="O402" i="2" s="1"/>
  <c r="L403" i="2"/>
  <c r="O403" i="2" s="1"/>
  <c r="L404" i="2"/>
  <c r="O404" i="2" s="1"/>
  <c r="L405" i="2"/>
  <c r="O405" i="2" s="1"/>
  <c r="L406" i="2"/>
  <c r="O406" i="2" s="1"/>
  <c r="L407" i="2"/>
  <c r="O407" i="2" s="1"/>
  <c r="L408" i="2"/>
  <c r="O408" i="2" s="1"/>
  <c r="L409" i="2"/>
  <c r="O409" i="2" s="1"/>
  <c r="AB400" i="2"/>
  <c r="AB401" i="2"/>
  <c r="AB402" i="2"/>
  <c r="AB403" i="2"/>
  <c r="AB404" i="2"/>
  <c r="AB405" i="2"/>
  <c r="AB406" i="2"/>
  <c r="AB407" i="2"/>
  <c r="AB408" i="2"/>
  <c r="AB409" i="2"/>
  <c r="Z4" i="9"/>
  <c r="R4" i="9"/>
  <c r="L399" i="2"/>
  <c r="O399" i="2" s="1"/>
  <c r="AB399" i="2"/>
  <c r="AC4" i="9" l="1"/>
  <c r="L19" i="2"/>
  <c r="O19" i="2" s="1"/>
  <c r="AB19" i="2"/>
  <c r="L398" i="2" l="1"/>
  <c r="O398" i="2" s="1"/>
  <c r="AB398" i="2"/>
  <c r="L18" i="2"/>
  <c r="O18" i="2" s="1"/>
  <c r="AB18" i="2"/>
  <c r="L397" i="2"/>
  <c r="O397" i="2" s="1"/>
  <c r="AB397" i="2"/>
  <c r="L396" i="2"/>
  <c r="O396" i="2" s="1"/>
  <c r="AB396" i="2"/>
  <c r="L395" i="2"/>
  <c r="O395" i="2" s="1"/>
  <c r="AB395" i="2"/>
  <c r="L394" i="2"/>
  <c r="O394" i="2" s="1"/>
  <c r="AB394" i="2"/>
  <c r="L393" i="2"/>
  <c r="O393" i="2" s="1"/>
  <c r="AB393" i="2"/>
  <c r="L392" i="2"/>
  <c r="O392" i="2" s="1"/>
  <c r="AB392" i="2"/>
  <c r="L391" i="2" l="1"/>
  <c r="O391" i="2" s="1"/>
  <c r="AB391" i="2"/>
  <c r="L25" i="2"/>
  <c r="O25" i="2" s="1"/>
  <c r="AB25" i="2"/>
  <c r="L390" i="2"/>
  <c r="O390" i="2" s="1"/>
  <c r="AB390" i="2"/>
  <c r="L26" i="2"/>
  <c r="O26" i="2" s="1"/>
  <c r="AB26" i="2"/>
  <c r="L17" i="2"/>
  <c r="O17" i="2" s="1"/>
  <c r="AB17" i="2"/>
  <c r="L389" i="2"/>
  <c r="O389" i="2" s="1"/>
  <c r="AB389" i="2"/>
  <c r="L27" i="2"/>
  <c r="O27" i="2" s="1"/>
  <c r="AB27" i="2"/>
  <c r="L388" i="2"/>
  <c r="O388" i="2" s="1"/>
  <c r="AB388" i="2"/>
  <c r="L378" i="2"/>
  <c r="O378" i="2" s="1"/>
  <c r="L379" i="2"/>
  <c r="O379" i="2" s="1"/>
  <c r="L380" i="2"/>
  <c r="O380" i="2" s="1"/>
  <c r="L381" i="2"/>
  <c r="O381" i="2" s="1"/>
  <c r="L382" i="2"/>
  <c r="O382" i="2" s="1"/>
  <c r="L383" i="2"/>
  <c r="O383" i="2" s="1"/>
  <c r="L384" i="2"/>
  <c r="O384" i="2" s="1"/>
  <c r="L385" i="2"/>
  <c r="O385" i="2" s="1"/>
  <c r="L386" i="2"/>
  <c r="O386" i="2" s="1"/>
  <c r="L387" i="2"/>
  <c r="O387" i="2" s="1"/>
  <c r="AB378" i="2"/>
  <c r="AB379" i="2"/>
  <c r="AB380" i="2"/>
  <c r="AB381" i="2"/>
  <c r="AB382" i="2"/>
  <c r="AB383" i="2"/>
  <c r="AB384" i="2"/>
  <c r="AB385" i="2"/>
  <c r="AB386" i="2"/>
  <c r="AB387" i="2"/>
  <c r="L368" i="2"/>
  <c r="O368" i="2" s="1"/>
  <c r="L369" i="2"/>
  <c r="O369" i="2" s="1"/>
  <c r="L370" i="2"/>
  <c r="O370" i="2" s="1"/>
  <c r="L371" i="2"/>
  <c r="O371" i="2" s="1"/>
  <c r="L372" i="2"/>
  <c r="O372" i="2" s="1"/>
  <c r="L373" i="2"/>
  <c r="O373" i="2" s="1"/>
  <c r="L374" i="2"/>
  <c r="O374" i="2" s="1"/>
  <c r="L375" i="2"/>
  <c r="O375" i="2" s="1"/>
  <c r="L376" i="2"/>
  <c r="O376" i="2" s="1"/>
  <c r="L377" i="2"/>
  <c r="O377" i="2" s="1"/>
  <c r="AB368" i="2"/>
  <c r="AB369" i="2"/>
  <c r="AB370" i="2"/>
  <c r="AB371" i="2"/>
  <c r="AB372" i="2"/>
  <c r="AB373" i="2"/>
  <c r="AB374" i="2"/>
  <c r="AB375" i="2"/>
  <c r="AB376" i="2"/>
  <c r="AB377" i="2"/>
  <c r="L358" i="2"/>
  <c r="O358" i="2" s="1"/>
  <c r="L359" i="2"/>
  <c r="O359" i="2" s="1"/>
  <c r="L360" i="2"/>
  <c r="O360" i="2" s="1"/>
  <c r="L361" i="2"/>
  <c r="O361" i="2" s="1"/>
  <c r="L362" i="2"/>
  <c r="O362" i="2" s="1"/>
  <c r="L363" i="2"/>
  <c r="O363" i="2" s="1"/>
  <c r="L364" i="2"/>
  <c r="O364" i="2" s="1"/>
  <c r="L365" i="2"/>
  <c r="O365" i="2" s="1"/>
  <c r="L366" i="2"/>
  <c r="O366" i="2" s="1"/>
  <c r="L367" i="2"/>
  <c r="O367" i="2" s="1"/>
  <c r="AB358" i="2"/>
  <c r="AB359" i="2"/>
  <c r="AB360" i="2"/>
  <c r="AB361" i="2"/>
  <c r="AB362" i="2"/>
  <c r="AB363" i="2"/>
  <c r="AB364" i="2"/>
  <c r="AB365" i="2"/>
  <c r="AB366" i="2"/>
  <c r="AB367" i="2"/>
  <c r="L348" i="2"/>
  <c r="O348" i="2" s="1"/>
  <c r="L349" i="2"/>
  <c r="O349" i="2" s="1"/>
  <c r="L350" i="2"/>
  <c r="O350" i="2" s="1"/>
  <c r="L351" i="2"/>
  <c r="O351" i="2" s="1"/>
  <c r="L352" i="2"/>
  <c r="O352" i="2" s="1"/>
  <c r="L353" i="2"/>
  <c r="O353" i="2" s="1"/>
  <c r="L354" i="2"/>
  <c r="O354" i="2" s="1"/>
  <c r="L355" i="2"/>
  <c r="O355" i="2" s="1"/>
  <c r="L356" i="2"/>
  <c r="O356" i="2" s="1"/>
  <c r="L357" i="2"/>
  <c r="O357" i="2" s="1"/>
  <c r="AB348" i="2"/>
  <c r="AB349" i="2"/>
  <c r="AB350" i="2"/>
  <c r="AB351" i="2"/>
  <c r="AB352" i="2"/>
  <c r="AB353" i="2"/>
  <c r="AB354" i="2"/>
  <c r="AB355" i="2"/>
  <c r="AB356" i="2"/>
  <c r="AB357" i="2"/>
  <c r="L338" i="2"/>
  <c r="O338" i="2" s="1"/>
  <c r="L339" i="2"/>
  <c r="O339" i="2" s="1"/>
  <c r="L340" i="2"/>
  <c r="O340" i="2" s="1"/>
  <c r="L341" i="2"/>
  <c r="O341" i="2" s="1"/>
  <c r="L342" i="2"/>
  <c r="O342" i="2" s="1"/>
  <c r="L343" i="2"/>
  <c r="O343" i="2" s="1"/>
  <c r="L344" i="2"/>
  <c r="O344" i="2" s="1"/>
  <c r="L345" i="2"/>
  <c r="O345" i="2" s="1"/>
  <c r="L346" i="2"/>
  <c r="O346" i="2" s="1"/>
  <c r="L347" i="2"/>
  <c r="O347" i="2" s="1"/>
  <c r="AB338" i="2"/>
  <c r="AB339" i="2"/>
  <c r="AB340" i="2"/>
  <c r="AB341" i="2"/>
  <c r="AB342" i="2"/>
  <c r="AB343" i="2"/>
  <c r="AB344" i="2"/>
  <c r="AB345" i="2"/>
  <c r="AB346" i="2"/>
  <c r="AB347" i="2"/>
  <c r="L328" i="2"/>
  <c r="O328" i="2" s="1"/>
  <c r="L329" i="2"/>
  <c r="O329" i="2" s="1"/>
  <c r="L330" i="2"/>
  <c r="O330" i="2" s="1"/>
  <c r="L331" i="2"/>
  <c r="O331" i="2" s="1"/>
  <c r="L332" i="2"/>
  <c r="O332" i="2" s="1"/>
  <c r="L333" i="2"/>
  <c r="O333" i="2" s="1"/>
  <c r="L334" i="2"/>
  <c r="O334" i="2" s="1"/>
  <c r="L335" i="2"/>
  <c r="O335" i="2" s="1"/>
  <c r="L336" i="2"/>
  <c r="O336" i="2" s="1"/>
  <c r="L337" i="2"/>
  <c r="O337" i="2" s="1"/>
  <c r="AB328" i="2"/>
  <c r="AB329" i="2"/>
  <c r="AB330" i="2"/>
  <c r="AB331" i="2"/>
  <c r="AB332" i="2"/>
  <c r="AB333" i="2"/>
  <c r="AB334" i="2"/>
  <c r="AB335" i="2"/>
  <c r="AB336" i="2"/>
  <c r="AB337" i="2"/>
  <c r="L318" i="2"/>
  <c r="O318" i="2" s="1"/>
  <c r="L319" i="2"/>
  <c r="O319" i="2" s="1"/>
  <c r="L320" i="2"/>
  <c r="O320" i="2" s="1"/>
  <c r="L321" i="2"/>
  <c r="O321" i="2" s="1"/>
  <c r="L322" i="2"/>
  <c r="O322" i="2" s="1"/>
  <c r="L323" i="2"/>
  <c r="O323" i="2" s="1"/>
  <c r="L324" i="2"/>
  <c r="O324" i="2" s="1"/>
  <c r="L325" i="2"/>
  <c r="O325" i="2" s="1"/>
  <c r="L326" i="2"/>
  <c r="O326" i="2" s="1"/>
  <c r="L327" i="2"/>
  <c r="O327" i="2" s="1"/>
  <c r="AB318" i="2"/>
  <c r="AB319" i="2"/>
  <c r="AB320" i="2"/>
  <c r="AB321" i="2"/>
  <c r="AB322" i="2"/>
  <c r="AB323" i="2"/>
  <c r="AB324" i="2"/>
  <c r="AB325" i="2"/>
  <c r="AB326" i="2"/>
  <c r="AB327" i="2"/>
  <c r="L308" i="2"/>
  <c r="O308" i="2" s="1"/>
  <c r="L309" i="2"/>
  <c r="O309" i="2" s="1"/>
  <c r="L310" i="2"/>
  <c r="O310" i="2" s="1"/>
  <c r="L311" i="2"/>
  <c r="O311" i="2" s="1"/>
  <c r="L312" i="2"/>
  <c r="O312" i="2" s="1"/>
  <c r="L313" i="2"/>
  <c r="O313" i="2" s="1"/>
  <c r="L314" i="2"/>
  <c r="O314" i="2" s="1"/>
  <c r="L315" i="2"/>
  <c r="O315" i="2" s="1"/>
  <c r="L316" i="2"/>
  <c r="O316" i="2" s="1"/>
  <c r="L317" i="2"/>
  <c r="O317" i="2" s="1"/>
  <c r="AB308" i="2"/>
  <c r="AB309" i="2"/>
  <c r="AB310" i="2"/>
  <c r="AB311" i="2"/>
  <c r="AB312" i="2"/>
  <c r="AB313" i="2"/>
  <c r="AB314" i="2"/>
  <c r="AB315" i="2"/>
  <c r="AB316" i="2"/>
  <c r="AB317" i="2"/>
  <c r="L298" i="2"/>
  <c r="O298" i="2" s="1"/>
  <c r="L299" i="2"/>
  <c r="O299" i="2" s="1"/>
  <c r="L300" i="2"/>
  <c r="O300" i="2" s="1"/>
  <c r="L301" i="2"/>
  <c r="O301" i="2" s="1"/>
  <c r="L302" i="2"/>
  <c r="O302" i="2" s="1"/>
  <c r="L303" i="2"/>
  <c r="O303" i="2" s="1"/>
  <c r="L304" i="2"/>
  <c r="O304" i="2" s="1"/>
  <c r="L305" i="2"/>
  <c r="O305" i="2" s="1"/>
  <c r="L306" i="2"/>
  <c r="O306" i="2" s="1"/>
  <c r="L307" i="2"/>
  <c r="O307" i="2" s="1"/>
  <c r="AB298" i="2"/>
  <c r="AB299" i="2"/>
  <c r="AB300" i="2"/>
  <c r="AB301" i="2"/>
  <c r="AB302" i="2"/>
  <c r="AB303" i="2"/>
  <c r="AB304" i="2"/>
  <c r="AB305" i="2"/>
  <c r="AB306" i="2"/>
  <c r="AB307" i="2"/>
  <c r="L288" i="2"/>
  <c r="O288" i="2" s="1"/>
  <c r="L289" i="2"/>
  <c r="O289" i="2" s="1"/>
  <c r="L290" i="2"/>
  <c r="O290" i="2" s="1"/>
  <c r="L291" i="2"/>
  <c r="O291" i="2" s="1"/>
  <c r="L292" i="2"/>
  <c r="O292" i="2" s="1"/>
  <c r="L293" i="2"/>
  <c r="O293" i="2" s="1"/>
  <c r="L294" i="2"/>
  <c r="O294" i="2" s="1"/>
  <c r="L295" i="2"/>
  <c r="O295" i="2" s="1"/>
  <c r="L296" i="2"/>
  <c r="O296" i="2" s="1"/>
  <c r="L297" i="2"/>
  <c r="O297" i="2" s="1"/>
  <c r="AB288" i="2"/>
  <c r="AB289" i="2"/>
  <c r="AB290" i="2"/>
  <c r="AB291" i="2"/>
  <c r="AB292" i="2"/>
  <c r="AB293" i="2"/>
  <c r="AB294" i="2"/>
  <c r="AB295" i="2"/>
  <c r="AB296" i="2"/>
  <c r="AB297" i="2"/>
  <c r="L278" i="2"/>
  <c r="O278" i="2" s="1"/>
  <c r="L279" i="2"/>
  <c r="O279" i="2" s="1"/>
  <c r="L280" i="2"/>
  <c r="O280" i="2" s="1"/>
  <c r="L281" i="2"/>
  <c r="O281" i="2" s="1"/>
  <c r="L282" i="2"/>
  <c r="O282" i="2" s="1"/>
  <c r="L283" i="2"/>
  <c r="O283" i="2" s="1"/>
  <c r="L284" i="2"/>
  <c r="O284" i="2" s="1"/>
  <c r="L285" i="2"/>
  <c r="O285" i="2" s="1"/>
  <c r="L286" i="2"/>
  <c r="O286" i="2" s="1"/>
  <c r="L287" i="2"/>
  <c r="O287" i="2" s="1"/>
  <c r="AB278" i="2"/>
  <c r="AB279" i="2"/>
  <c r="AB280" i="2"/>
  <c r="AB281" i="2"/>
  <c r="AB282" i="2"/>
  <c r="AB283" i="2"/>
  <c r="AB284" i="2"/>
  <c r="AB285" i="2"/>
  <c r="AB286" i="2"/>
  <c r="AB287" i="2"/>
  <c r="L268" i="2"/>
  <c r="O268" i="2" s="1"/>
  <c r="L269" i="2"/>
  <c r="O269" i="2" s="1"/>
  <c r="L270" i="2"/>
  <c r="O270" i="2" s="1"/>
  <c r="L271" i="2"/>
  <c r="O271" i="2" s="1"/>
  <c r="L272" i="2"/>
  <c r="O272" i="2" s="1"/>
  <c r="L273" i="2"/>
  <c r="O273" i="2" s="1"/>
  <c r="L274" i="2"/>
  <c r="O274" i="2" s="1"/>
  <c r="L275" i="2"/>
  <c r="O275" i="2" s="1"/>
  <c r="L276" i="2"/>
  <c r="O276" i="2" s="1"/>
  <c r="L277" i="2"/>
  <c r="O277" i="2" s="1"/>
  <c r="AB268" i="2"/>
  <c r="AB269" i="2"/>
  <c r="AB270" i="2"/>
  <c r="AB271" i="2"/>
  <c r="AB272" i="2"/>
  <c r="AB273" i="2"/>
  <c r="AB274" i="2"/>
  <c r="AB275" i="2"/>
  <c r="AB276" i="2"/>
  <c r="AB277" i="2"/>
  <c r="L258" i="2"/>
  <c r="O258" i="2" s="1"/>
  <c r="L259" i="2"/>
  <c r="O259" i="2" s="1"/>
  <c r="L260" i="2"/>
  <c r="O260" i="2" s="1"/>
  <c r="L261" i="2"/>
  <c r="O261" i="2" s="1"/>
  <c r="L262" i="2"/>
  <c r="O262" i="2" s="1"/>
  <c r="L263" i="2"/>
  <c r="O263" i="2" s="1"/>
  <c r="L264" i="2"/>
  <c r="O264" i="2" s="1"/>
  <c r="L265" i="2"/>
  <c r="O265" i="2" s="1"/>
  <c r="L266" i="2"/>
  <c r="O266" i="2" s="1"/>
  <c r="L267" i="2"/>
  <c r="O267" i="2" s="1"/>
  <c r="AB258" i="2"/>
  <c r="AB259" i="2"/>
  <c r="AB260" i="2"/>
  <c r="AB261" i="2"/>
  <c r="AB262" i="2"/>
  <c r="AB263" i="2"/>
  <c r="AB264" i="2"/>
  <c r="AB265" i="2"/>
  <c r="AB266" i="2"/>
  <c r="AB267" i="2"/>
  <c r="L248" i="2"/>
  <c r="O248" i="2" s="1"/>
  <c r="L249" i="2"/>
  <c r="O249" i="2" s="1"/>
  <c r="L250" i="2"/>
  <c r="O250" i="2" s="1"/>
  <c r="L251" i="2"/>
  <c r="O251" i="2" s="1"/>
  <c r="L252" i="2"/>
  <c r="O252" i="2" s="1"/>
  <c r="L253" i="2"/>
  <c r="O253" i="2" s="1"/>
  <c r="L254" i="2"/>
  <c r="O254" i="2" s="1"/>
  <c r="L255" i="2"/>
  <c r="O255" i="2" s="1"/>
  <c r="L256" i="2"/>
  <c r="O256" i="2" s="1"/>
  <c r="L257" i="2"/>
  <c r="O257" i="2" s="1"/>
  <c r="AB248" i="2"/>
  <c r="AB249" i="2"/>
  <c r="AB250" i="2"/>
  <c r="AB251" i="2"/>
  <c r="AB252" i="2"/>
  <c r="AB253" i="2"/>
  <c r="AB254" i="2"/>
  <c r="AB255" i="2"/>
  <c r="AB256" i="2"/>
  <c r="AB257" i="2"/>
  <c r="L238" i="2"/>
  <c r="O238" i="2" s="1"/>
  <c r="L239" i="2"/>
  <c r="O239" i="2" s="1"/>
  <c r="L240" i="2"/>
  <c r="O240" i="2" s="1"/>
  <c r="L241" i="2"/>
  <c r="O241" i="2" s="1"/>
  <c r="L242" i="2"/>
  <c r="O242" i="2" s="1"/>
  <c r="L243" i="2"/>
  <c r="O243" i="2" s="1"/>
  <c r="L244" i="2"/>
  <c r="O244" i="2" s="1"/>
  <c r="L245" i="2"/>
  <c r="O245" i="2" s="1"/>
  <c r="L246" i="2"/>
  <c r="O246" i="2" s="1"/>
  <c r="L247" i="2"/>
  <c r="O247" i="2" s="1"/>
  <c r="AB238" i="2"/>
  <c r="AB239" i="2"/>
  <c r="AB240" i="2"/>
  <c r="AB241" i="2"/>
  <c r="AB242" i="2"/>
  <c r="AB243" i="2"/>
  <c r="AB244" i="2"/>
  <c r="AB245" i="2"/>
  <c r="AB246" i="2"/>
  <c r="AB247" i="2"/>
  <c r="L228" i="2"/>
  <c r="O228" i="2" s="1"/>
  <c r="L229" i="2"/>
  <c r="O229" i="2" s="1"/>
  <c r="L230" i="2"/>
  <c r="O230" i="2" s="1"/>
  <c r="L231" i="2"/>
  <c r="O231" i="2" s="1"/>
  <c r="L232" i="2"/>
  <c r="O232" i="2" s="1"/>
  <c r="L233" i="2"/>
  <c r="O233" i="2" s="1"/>
  <c r="L234" i="2"/>
  <c r="O234" i="2" s="1"/>
  <c r="L235" i="2"/>
  <c r="O235" i="2" s="1"/>
  <c r="L236" i="2"/>
  <c r="O236" i="2" s="1"/>
  <c r="L237" i="2"/>
  <c r="O237" i="2" s="1"/>
  <c r="AB228" i="2"/>
  <c r="AB229" i="2"/>
  <c r="AB230" i="2"/>
  <c r="AB231" i="2"/>
  <c r="AB232" i="2"/>
  <c r="AB233" i="2"/>
  <c r="AB234" i="2"/>
  <c r="AB235" i="2"/>
  <c r="AB236" i="2"/>
  <c r="AB237" i="2"/>
  <c r="L218" i="2"/>
  <c r="O218" i="2" s="1"/>
  <c r="L219" i="2"/>
  <c r="O219" i="2" s="1"/>
  <c r="L220" i="2"/>
  <c r="O220" i="2" s="1"/>
  <c r="L221" i="2"/>
  <c r="O221" i="2" s="1"/>
  <c r="L222" i="2"/>
  <c r="O222" i="2" s="1"/>
  <c r="L223" i="2"/>
  <c r="O223" i="2" s="1"/>
  <c r="L224" i="2"/>
  <c r="O224" i="2" s="1"/>
  <c r="L225" i="2"/>
  <c r="O225" i="2" s="1"/>
  <c r="L226" i="2"/>
  <c r="O226" i="2" s="1"/>
  <c r="L227" i="2"/>
  <c r="O227" i="2" s="1"/>
  <c r="AB218" i="2"/>
  <c r="AB219" i="2"/>
  <c r="AB220" i="2"/>
  <c r="AB221" i="2"/>
  <c r="AB222" i="2"/>
  <c r="AB223" i="2"/>
  <c r="AB224" i="2"/>
  <c r="AB225" i="2"/>
  <c r="AB226" i="2"/>
  <c r="AB227" i="2"/>
  <c r="L208" i="2"/>
  <c r="O208" i="2" s="1"/>
  <c r="L209" i="2"/>
  <c r="O209" i="2" s="1"/>
  <c r="L210" i="2"/>
  <c r="O210" i="2" s="1"/>
  <c r="L211" i="2"/>
  <c r="O211" i="2" s="1"/>
  <c r="L212" i="2"/>
  <c r="O212" i="2" s="1"/>
  <c r="L213" i="2"/>
  <c r="O213" i="2" s="1"/>
  <c r="L214" i="2"/>
  <c r="O214" i="2" s="1"/>
  <c r="L215" i="2"/>
  <c r="O215" i="2" s="1"/>
  <c r="L216" i="2"/>
  <c r="O216" i="2" s="1"/>
  <c r="L217" i="2"/>
  <c r="O217" i="2" s="1"/>
  <c r="AB208" i="2"/>
  <c r="AB209" i="2"/>
  <c r="AB210" i="2"/>
  <c r="AB211" i="2"/>
  <c r="AB212" i="2"/>
  <c r="AB213" i="2"/>
  <c r="AB214" i="2"/>
  <c r="AB215" i="2"/>
  <c r="AB216" i="2"/>
  <c r="AB217" i="2"/>
  <c r="L198" i="2"/>
  <c r="O198" i="2" s="1"/>
  <c r="L199" i="2"/>
  <c r="O199" i="2" s="1"/>
  <c r="L200" i="2"/>
  <c r="O200" i="2" s="1"/>
  <c r="L201" i="2"/>
  <c r="O201" i="2" s="1"/>
  <c r="L202" i="2"/>
  <c r="O202" i="2" s="1"/>
  <c r="L203" i="2"/>
  <c r="O203" i="2" s="1"/>
  <c r="L204" i="2"/>
  <c r="O204" i="2" s="1"/>
  <c r="L205" i="2"/>
  <c r="O205" i="2" s="1"/>
  <c r="L206" i="2"/>
  <c r="O206" i="2" s="1"/>
  <c r="L207" i="2"/>
  <c r="O207" i="2" s="1"/>
  <c r="AB198" i="2"/>
  <c r="AB199" i="2"/>
  <c r="AB200" i="2"/>
  <c r="AB201" i="2"/>
  <c r="AB202" i="2"/>
  <c r="AB203" i="2"/>
  <c r="AB204" i="2"/>
  <c r="AB205" i="2"/>
  <c r="AB206" i="2"/>
  <c r="AB207" i="2"/>
  <c r="L188" i="2"/>
  <c r="O188" i="2" s="1"/>
  <c r="L189" i="2"/>
  <c r="O189" i="2" s="1"/>
  <c r="L190" i="2"/>
  <c r="O190" i="2" s="1"/>
  <c r="L191" i="2"/>
  <c r="O191" i="2" s="1"/>
  <c r="L192" i="2"/>
  <c r="O192" i="2" s="1"/>
  <c r="L193" i="2"/>
  <c r="O193" i="2" s="1"/>
  <c r="L194" i="2"/>
  <c r="O194" i="2" s="1"/>
  <c r="L195" i="2"/>
  <c r="O195" i="2" s="1"/>
  <c r="L196" i="2"/>
  <c r="O196" i="2" s="1"/>
  <c r="L197" i="2"/>
  <c r="O197" i="2" s="1"/>
  <c r="AB188" i="2"/>
  <c r="AB189" i="2"/>
  <c r="AB190" i="2"/>
  <c r="AB191" i="2"/>
  <c r="AB192" i="2"/>
  <c r="AB193" i="2"/>
  <c r="AB194" i="2"/>
  <c r="AB195" i="2"/>
  <c r="AB196" i="2"/>
  <c r="AB197" i="2"/>
  <c r="L178" i="2"/>
  <c r="O178" i="2" s="1"/>
  <c r="L179" i="2"/>
  <c r="O179" i="2" s="1"/>
  <c r="L180" i="2"/>
  <c r="O180" i="2" s="1"/>
  <c r="L181" i="2"/>
  <c r="O181" i="2" s="1"/>
  <c r="L182" i="2"/>
  <c r="O182" i="2" s="1"/>
  <c r="L183" i="2"/>
  <c r="O183" i="2" s="1"/>
  <c r="L184" i="2"/>
  <c r="O184" i="2" s="1"/>
  <c r="L185" i="2"/>
  <c r="O185" i="2" s="1"/>
  <c r="L186" i="2"/>
  <c r="O186" i="2" s="1"/>
  <c r="L187" i="2"/>
  <c r="O187" i="2" s="1"/>
  <c r="AB178" i="2"/>
  <c r="AB179" i="2"/>
  <c r="AB180" i="2"/>
  <c r="AB181" i="2"/>
  <c r="AB182" i="2"/>
  <c r="AB183" i="2"/>
  <c r="AB184" i="2"/>
  <c r="AB185" i="2"/>
  <c r="AB186" i="2"/>
  <c r="AB187" i="2"/>
  <c r="L168" i="2"/>
  <c r="O168" i="2" s="1"/>
  <c r="L169" i="2"/>
  <c r="O169" i="2" s="1"/>
  <c r="L170" i="2"/>
  <c r="O170" i="2" s="1"/>
  <c r="L171" i="2"/>
  <c r="O171" i="2" s="1"/>
  <c r="L172" i="2"/>
  <c r="O172" i="2" s="1"/>
  <c r="L173" i="2"/>
  <c r="O173" i="2" s="1"/>
  <c r="L174" i="2"/>
  <c r="O174" i="2" s="1"/>
  <c r="L175" i="2"/>
  <c r="O175" i="2" s="1"/>
  <c r="L176" i="2"/>
  <c r="O176" i="2" s="1"/>
  <c r="L177" i="2"/>
  <c r="O177" i="2" s="1"/>
  <c r="AB168" i="2"/>
  <c r="AB169" i="2"/>
  <c r="AB170" i="2"/>
  <c r="AB171" i="2"/>
  <c r="AB172" i="2"/>
  <c r="AB173" i="2"/>
  <c r="AB174" i="2"/>
  <c r="AB175" i="2"/>
  <c r="AB176" i="2"/>
  <c r="AB177" i="2"/>
  <c r="L158" i="2"/>
  <c r="O158" i="2" s="1"/>
  <c r="L159" i="2"/>
  <c r="O159" i="2" s="1"/>
  <c r="L160" i="2"/>
  <c r="O160" i="2" s="1"/>
  <c r="L161" i="2"/>
  <c r="O161" i="2" s="1"/>
  <c r="L162" i="2"/>
  <c r="O162" i="2" s="1"/>
  <c r="L163" i="2"/>
  <c r="O163" i="2" s="1"/>
  <c r="L164" i="2"/>
  <c r="O164" i="2" s="1"/>
  <c r="L165" i="2"/>
  <c r="O165" i="2" s="1"/>
  <c r="L166" i="2"/>
  <c r="O166" i="2" s="1"/>
  <c r="L167" i="2"/>
  <c r="O167" i="2" s="1"/>
  <c r="AB158" i="2"/>
  <c r="AB159" i="2"/>
  <c r="AB160" i="2"/>
  <c r="AB161" i="2"/>
  <c r="AB162" i="2"/>
  <c r="AB163" i="2"/>
  <c r="AB164" i="2"/>
  <c r="AB165" i="2"/>
  <c r="AB166" i="2"/>
  <c r="AB167" i="2"/>
  <c r="L148" i="2"/>
  <c r="O148" i="2" s="1"/>
  <c r="L149" i="2"/>
  <c r="O149" i="2" s="1"/>
  <c r="L150" i="2"/>
  <c r="O150" i="2" s="1"/>
  <c r="L151" i="2"/>
  <c r="O151" i="2" s="1"/>
  <c r="L152" i="2"/>
  <c r="O152" i="2" s="1"/>
  <c r="L153" i="2"/>
  <c r="O153" i="2" s="1"/>
  <c r="L154" i="2"/>
  <c r="O154" i="2" s="1"/>
  <c r="L155" i="2"/>
  <c r="O155" i="2" s="1"/>
  <c r="L156" i="2"/>
  <c r="O156" i="2" s="1"/>
  <c r="L157" i="2"/>
  <c r="O157" i="2" s="1"/>
  <c r="AB148" i="2"/>
  <c r="AB149" i="2"/>
  <c r="AB150" i="2"/>
  <c r="AB151" i="2"/>
  <c r="AB152" i="2"/>
  <c r="AB153" i="2"/>
  <c r="AB154" i="2"/>
  <c r="AB155" i="2"/>
  <c r="AB156" i="2"/>
  <c r="AB157" i="2"/>
  <c r="L138" i="2"/>
  <c r="O138" i="2" s="1"/>
  <c r="L139" i="2"/>
  <c r="O139" i="2" s="1"/>
  <c r="L140" i="2"/>
  <c r="O140" i="2" s="1"/>
  <c r="L141" i="2"/>
  <c r="O141" i="2" s="1"/>
  <c r="L142" i="2"/>
  <c r="O142" i="2" s="1"/>
  <c r="L143" i="2"/>
  <c r="O143" i="2" s="1"/>
  <c r="L144" i="2"/>
  <c r="O144" i="2" s="1"/>
  <c r="L145" i="2"/>
  <c r="O145" i="2" s="1"/>
  <c r="L146" i="2"/>
  <c r="O146" i="2" s="1"/>
  <c r="L147" i="2"/>
  <c r="O147" i="2" s="1"/>
  <c r="AB138" i="2"/>
  <c r="AB139" i="2"/>
  <c r="AB140" i="2"/>
  <c r="AB141" i="2"/>
  <c r="AB142" i="2"/>
  <c r="AB143" i="2"/>
  <c r="AB144" i="2"/>
  <c r="AB145" i="2"/>
  <c r="AB146" i="2"/>
  <c r="AB147" i="2"/>
  <c r="L128" i="2"/>
  <c r="O128" i="2" s="1"/>
  <c r="L129" i="2"/>
  <c r="O129" i="2" s="1"/>
  <c r="L130" i="2"/>
  <c r="O130" i="2" s="1"/>
  <c r="L131" i="2"/>
  <c r="O131" i="2" s="1"/>
  <c r="L132" i="2"/>
  <c r="O132" i="2" s="1"/>
  <c r="L133" i="2"/>
  <c r="O133" i="2" s="1"/>
  <c r="L134" i="2"/>
  <c r="O134" i="2" s="1"/>
  <c r="L135" i="2"/>
  <c r="O135" i="2" s="1"/>
  <c r="L136" i="2"/>
  <c r="O136" i="2" s="1"/>
  <c r="L137" i="2"/>
  <c r="O137" i="2" s="1"/>
  <c r="AB128" i="2"/>
  <c r="AB129" i="2"/>
  <c r="AB130" i="2"/>
  <c r="AB131" i="2"/>
  <c r="AB132" i="2"/>
  <c r="AB133" i="2"/>
  <c r="AB134" i="2"/>
  <c r="AB135" i="2"/>
  <c r="AB136" i="2"/>
  <c r="AB137" i="2"/>
  <c r="L118" i="2"/>
  <c r="O118" i="2" s="1"/>
  <c r="L119" i="2"/>
  <c r="O119" i="2" s="1"/>
  <c r="L120" i="2"/>
  <c r="O120" i="2" s="1"/>
  <c r="L121" i="2"/>
  <c r="O121" i="2" s="1"/>
  <c r="L122" i="2"/>
  <c r="O122" i="2" s="1"/>
  <c r="L123" i="2"/>
  <c r="O123" i="2" s="1"/>
  <c r="L124" i="2"/>
  <c r="O124" i="2" s="1"/>
  <c r="L125" i="2"/>
  <c r="O125" i="2" s="1"/>
  <c r="L126" i="2"/>
  <c r="O126" i="2" s="1"/>
  <c r="L127" i="2"/>
  <c r="O127" i="2" s="1"/>
  <c r="AB118" i="2"/>
  <c r="AB119" i="2"/>
  <c r="AB120" i="2"/>
  <c r="AB121" i="2"/>
  <c r="AB122" i="2"/>
  <c r="AB123" i="2"/>
  <c r="AB124" i="2"/>
  <c r="AB125" i="2"/>
  <c r="AB126" i="2"/>
  <c r="AB127" i="2"/>
  <c r="L108" i="2"/>
  <c r="O108" i="2" s="1"/>
  <c r="L109" i="2"/>
  <c r="O109" i="2" s="1"/>
  <c r="L110" i="2"/>
  <c r="O110" i="2" s="1"/>
  <c r="L111" i="2"/>
  <c r="O111" i="2" s="1"/>
  <c r="L112" i="2"/>
  <c r="O112" i="2" s="1"/>
  <c r="L113" i="2"/>
  <c r="O113" i="2" s="1"/>
  <c r="L114" i="2"/>
  <c r="O114" i="2" s="1"/>
  <c r="L115" i="2"/>
  <c r="O115" i="2" s="1"/>
  <c r="L116" i="2"/>
  <c r="O116" i="2" s="1"/>
  <c r="L117" i="2"/>
  <c r="O117" i="2" s="1"/>
  <c r="AB108" i="2"/>
  <c r="AB109" i="2"/>
  <c r="AB110" i="2"/>
  <c r="AB111" i="2"/>
  <c r="AB112" i="2"/>
  <c r="AB113" i="2"/>
  <c r="AB114" i="2"/>
  <c r="AB115" i="2"/>
  <c r="AB116" i="2"/>
  <c r="AB117" i="2"/>
  <c r="L98" i="2"/>
  <c r="O98" i="2" s="1"/>
  <c r="L99" i="2"/>
  <c r="O99" i="2" s="1"/>
  <c r="L100" i="2"/>
  <c r="O100" i="2" s="1"/>
  <c r="L101" i="2"/>
  <c r="O101" i="2" s="1"/>
  <c r="L102" i="2"/>
  <c r="O102" i="2" s="1"/>
  <c r="L103" i="2"/>
  <c r="O103" i="2" s="1"/>
  <c r="L104" i="2"/>
  <c r="O104" i="2" s="1"/>
  <c r="L105" i="2"/>
  <c r="O105" i="2" s="1"/>
  <c r="L106" i="2"/>
  <c r="O106" i="2" s="1"/>
  <c r="L107" i="2"/>
  <c r="O107" i="2" s="1"/>
  <c r="AB98" i="2"/>
  <c r="AB99" i="2"/>
  <c r="AB100" i="2"/>
  <c r="AB101" i="2"/>
  <c r="AB102" i="2"/>
  <c r="AB103" i="2"/>
  <c r="AB104" i="2"/>
  <c r="AB105" i="2"/>
  <c r="AB106" i="2"/>
  <c r="AB107" i="2"/>
  <c r="L88" i="2"/>
  <c r="O88" i="2" s="1"/>
  <c r="L89" i="2"/>
  <c r="O89" i="2" s="1"/>
  <c r="L90" i="2"/>
  <c r="O90" i="2" s="1"/>
  <c r="L91" i="2"/>
  <c r="O91" i="2" s="1"/>
  <c r="L92" i="2"/>
  <c r="O92" i="2" s="1"/>
  <c r="L93" i="2"/>
  <c r="O93" i="2" s="1"/>
  <c r="L94" i="2"/>
  <c r="O94" i="2" s="1"/>
  <c r="L95" i="2"/>
  <c r="O95" i="2" s="1"/>
  <c r="L96" i="2"/>
  <c r="O96" i="2" s="1"/>
  <c r="L97" i="2"/>
  <c r="O97" i="2" s="1"/>
  <c r="AB88" i="2"/>
  <c r="AB89" i="2"/>
  <c r="AB90" i="2"/>
  <c r="AB91" i="2"/>
  <c r="AB92" i="2"/>
  <c r="AB93" i="2"/>
  <c r="AB94" i="2"/>
  <c r="AB95" i="2"/>
  <c r="AB96" i="2"/>
  <c r="AB97" i="2"/>
  <c r="L78" i="2"/>
  <c r="O78" i="2" s="1"/>
  <c r="L79" i="2"/>
  <c r="O79" i="2" s="1"/>
  <c r="L80" i="2"/>
  <c r="O80" i="2" s="1"/>
  <c r="L81" i="2"/>
  <c r="O81" i="2" s="1"/>
  <c r="L82" i="2"/>
  <c r="O82" i="2" s="1"/>
  <c r="L83" i="2"/>
  <c r="O83" i="2" s="1"/>
  <c r="L84" i="2"/>
  <c r="O84" i="2" s="1"/>
  <c r="L85" i="2"/>
  <c r="O85" i="2" s="1"/>
  <c r="L86" i="2"/>
  <c r="O86" i="2" s="1"/>
  <c r="L87" i="2"/>
  <c r="O87" i="2" s="1"/>
  <c r="AB78" i="2"/>
  <c r="AB79" i="2"/>
  <c r="AB80" i="2"/>
  <c r="AB81" i="2"/>
  <c r="AB82" i="2"/>
  <c r="AB83" i="2"/>
  <c r="AB84" i="2"/>
  <c r="AB85" i="2"/>
  <c r="AB86" i="2"/>
  <c r="AB87" i="2"/>
  <c r="L68" i="2"/>
  <c r="O68" i="2" s="1"/>
  <c r="L69" i="2"/>
  <c r="O69" i="2" s="1"/>
  <c r="L70" i="2"/>
  <c r="O70" i="2" s="1"/>
  <c r="L71" i="2"/>
  <c r="O71" i="2" s="1"/>
  <c r="L72" i="2"/>
  <c r="O72" i="2" s="1"/>
  <c r="L73" i="2"/>
  <c r="O73" i="2" s="1"/>
  <c r="L74" i="2"/>
  <c r="O74" i="2" s="1"/>
  <c r="L75" i="2"/>
  <c r="O75" i="2" s="1"/>
  <c r="L76" i="2"/>
  <c r="O76" i="2" s="1"/>
  <c r="L77" i="2"/>
  <c r="O77" i="2" s="1"/>
  <c r="AB68" i="2"/>
  <c r="AB69" i="2"/>
  <c r="AB70" i="2"/>
  <c r="AB71" i="2"/>
  <c r="AB72" i="2"/>
  <c r="AB73" i="2"/>
  <c r="AB74" i="2"/>
  <c r="AB75" i="2"/>
  <c r="AB76" i="2"/>
  <c r="AB77" i="2"/>
  <c r="L67" i="2"/>
  <c r="O67" i="2" s="1"/>
  <c r="AB67" i="2"/>
  <c r="L66" i="2"/>
  <c r="O66" i="2" s="1"/>
  <c r="AB66" i="2"/>
  <c r="L65" i="2"/>
  <c r="O65" i="2" s="1"/>
  <c r="AB65" i="2"/>
  <c r="L16" i="2"/>
  <c r="O16" i="2" s="1"/>
  <c r="AB16" i="2"/>
  <c r="L64" i="2"/>
  <c r="O64" i="2" s="1"/>
  <c r="AB64" i="2"/>
  <c r="L63" i="2"/>
  <c r="O63" i="2" s="1"/>
  <c r="AB63" i="2"/>
  <c r="L62" i="2"/>
  <c r="O62" i="2" s="1"/>
  <c r="AB62" i="2"/>
  <c r="L61" i="2"/>
  <c r="O61" i="2" s="1"/>
  <c r="AB61" i="2"/>
  <c r="L60" i="2"/>
  <c r="O60" i="2" s="1"/>
  <c r="AB60" i="2"/>
  <c r="L59" i="2"/>
  <c r="O59" i="2" s="1"/>
  <c r="AB59" i="2"/>
  <c r="L58" i="2"/>
  <c r="O58" i="2" s="1"/>
  <c r="AB58" i="2"/>
  <c r="L57" i="2"/>
  <c r="O57" i="2" s="1"/>
  <c r="AB57" i="2"/>
  <c r="L56" i="2"/>
  <c r="O56" i="2" s="1"/>
  <c r="AB56" i="2"/>
  <c r="L55" i="2"/>
  <c r="O55" i="2" s="1"/>
  <c r="AB55" i="2"/>
  <c r="L54" i="2"/>
  <c r="O54" i="2" s="1"/>
  <c r="AB54" i="2"/>
  <c r="L53" i="2"/>
  <c r="O53" i="2" s="1"/>
  <c r="AB53" i="2"/>
  <c r="L52" i="2"/>
  <c r="O52" i="2" s="1"/>
  <c r="AB52" i="2"/>
  <c r="L51" i="2"/>
  <c r="O51" i="2" s="1"/>
  <c r="AB51" i="2"/>
  <c r="L50" i="2"/>
  <c r="O50" i="2" s="1"/>
  <c r="AB50" i="2"/>
  <c r="L49" i="2"/>
  <c r="O49" i="2" s="1"/>
  <c r="AB49" i="2"/>
  <c r="L48" i="2"/>
  <c r="O48" i="2" s="1"/>
  <c r="AB48" i="2"/>
  <c r="L47" i="2"/>
  <c r="O47" i="2" s="1"/>
  <c r="AB47" i="2"/>
  <c r="L46" i="2" l="1"/>
  <c r="O46" i="2" s="1"/>
  <c r="AB46" i="2"/>
  <c r="L45" i="2"/>
  <c r="O45" i="2" s="1"/>
  <c r="AB45" i="2"/>
  <c r="L44" i="2"/>
  <c r="O44" i="2" s="1"/>
  <c r="AB44" i="2"/>
  <c r="L34" i="2" l="1"/>
  <c r="O34" i="2" s="1"/>
  <c r="L35" i="2"/>
  <c r="O35" i="2" s="1"/>
  <c r="L36" i="2"/>
  <c r="O36" i="2" s="1"/>
  <c r="L37" i="2"/>
  <c r="O37" i="2" s="1"/>
  <c r="L38" i="2"/>
  <c r="O38" i="2" s="1"/>
  <c r="L39" i="2"/>
  <c r="O39" i="2" s="1"/>
  <c r="L40" i="2"/>
  <c r="O40" i="2" s="1"/>
  <c r="L41" i="2"/>
  <c r="O41" i="2" s="1"/>
  <c r="L42" i="2"/>
  <c r="O42" i="2" s="1"/>
  <c r="L43" i="2"/>
  <c r="O43" i="2" s="1"/>
  <c r="AB34" i="2"/>
  <c r="AB35" i="2"/>
  <c r="AB36" i="2"/>
  <c r="AB37" i="2"/>
  <c r="AB38" i="2"/>
  <c r="AB39" i="2"/>
  <c r="AB40" i="2"/>
  <c r="AB41" i="2"/>
  <c r="AB42" i="2"/>
  <c r="AB43" i="2"/>
  <c r="L33" i="2"/>
  <c r="O33" i="2" s="1"/>
  <c r="AB33" i="2"/>
  <c r="L32" i="2"/>
  <c r="O32" i="2" s="1"/>
  <c r="AB32" i="2"/>
  <c r="L31" i="2"/>
  <c r="O31" i="2" s="1"/>
  <c r="AB31" i="2"/>
  <c r="L30" i="2"/>
  <c r="O30" i="2" s="1"/>
  <c r="AB30" i="2"/>
  <c r="L29" i="2" l="1"/>
  <c r="O29" i="2" s="1"/>
  <c r="AB29" i="2"/>
  <c r="L28" i="2" l="1"/>
  <c r="O28" i="2" s="1"/>
  <c r="AB28" i="2"/>
  <c r="L12" i="2" l="1"/>
  <c r="O12" i="2" s="1"/>
  <c r="L13" i="2"/>
  <c r="O13" i="2" s="1"/>
  <c r="L14" i="2"/>
  <c r="O14" i="2" s="1"/>
  <c r="L15" i="2"/>
  <c r="O15" i="2" s="1"/>
  <c r="AB12" i="2"/>
  <c r="AB13" i="2"/>
  <c r="AB14" i="2"/>
  <c r="AB15" i="2"/>
  <c r="L11" i="2"/>
  <c r="O11" i="2" s="1"/>
  <c r="AB11" i="2"/>
  <c r="L9" i="2"/>
  <c r="O9" i="2" s="1"/>
  <c r="AB9" i="2"/>
  <c r="L10" i="2" l="1"/>
  <c r="O10" i="2" s="1"/>
  <c r="AB10" i="2"/>
  <c r="C3" i="2" l="1"/>
  <c r="X7" i="9" l="1"/>
  <c r="CF5" i="3" l="1"/>
  <c r="CF6" i="3"/>
  <c r="L8" i="2" l="1"/>
  <c r="AB8" i="2"/>
  <c r="O8" i="2" l="1"/>
  <c r="CA5" i="3"/>
  <c r="CA6" i="3" s="1"/>
  <c r="B19" i="9" s="1"/>
  <c r="B18" i="9" l="1"/>
  <c r="CA7" i="3"/>
  <c r="CA8" i="3" l="1"/>
  <c r="B20" i="9"/>
  <c r="CA9" i="3" l="1"/>
  <c r="B21" i="9"/>
  <c r="CA10" i="3" l="1"/>
  <c r="B22" i="9"/>
  <c r="CA11" i="3" l="1"/>
  <c r="B23" i="9"/>
  <c r="CA12" i="3" l="1"/>
  <c r="B24" i="9"/>
  <c r="CA13" i="3" l="1"/>
  <c r="B25" i="9"/>
  <c r="CA14" i="3" l="1"/>
  <c r="B26" i="9"/>
  <c r="CA15" i="3" l="1"/>
  <c r="B27" i="9"/>
  <c r="CA16" i="3" l="1"/>
  <c r="B29" i="9" s="1"/>
  <c r="B28" i="9"/>
  <c r="CB2" i="3" l="1"/>
  <c r="CA2" i="3"/>
  <c r="CB25" i="3" l="1"/>
  <c r="CB24" i="3"/>
  <c r="CB20" i="3"/>
  <c r="CB21" i="3" l="1"/>
  <c r="CB22" i="3"/>
  <c r="CB19" i="3"/>
  <c r="CB23" i="3"/>
  <c r="X6" i="9"/>
  <c r="AB7" i="2" l="1"/>
  <c r="L7" i="2"/>
  <c r="O7" i="2" s="1"/>
  <c r="AH29" i="9" l="1"/>
  <c r="CB16" i="3" s="1"/>
  <c r="AH28" i="9"/>
  <c r="CB15" i="3" s="1"/>
  <c r="AH27" i="9"/>
  <c r="CB14" i="3" s="1"/>
  <c r="AH26" i="9"/>
  <c r="CB13" i="3" s="1"/>
  <c r="AH25" i="9"/>
  <c r="CB12" i="3" s="1"/>
  <c r="AH24" i="9"/>
  <c r="CB11" i="3" s="1"/>
  <c r="AH23" i="9"/>
  <c r="CB10" i="3" s="1"/>
  <c r="AH22" i="9"/>
  <c r="CB9" i="3" s="1"/>
  <c r="AH21" i="9"/>
  <c r="CB8" i="3" s="1"/>
  <c r="AH20" i="9"/>
  <c r="CB7" i="3" s="1"/>
  <c r="AH19" i="9"/>
  <c r="CB6" i="3" s="1"/>
  <c r="AH18" i="9"/>
  <c r="CB5" i="3" s="1"/>
  <c r="CC9" i="3" l="1"/>
  <c r="CC10" i="3"/>
  <c r="CC11" i="3"/>
  <c r="CC12" i="3"/>
  <c r="CC13" i="3"/>
  <c r="CC14" i="3"/>
  <c r="CC6" i="3"/>
  <c r="CC15" i="3"/>
  <c r="CC7" i="3"/>
  <c r="CC8" i="3"/>
  <c r="CC16" i="3"/>
  <c r="CC5" i="3"/>
  <c r="CD5" i="3" s="1"/>
  <c r="CD6" i="3" l="1"/>
  <c r="CD7" i="3" l="1"/>
  <c r="J1" i="3"/>
  <c r="I1" i="3"/>
  <c r="H1" i="3"/>
  <c r="G1" i="3"/>
  <c r="F1" i="3"/>
  <c r="E1" i="3"/>
  <c r="C1" i="3"/>
  <c r="CD8" i="3" l="1"/>
  <c r="A64" i="3"/>
  <c r="CD9" i="3" l="1"/>
  <c r="O3" i="2"/>
  <c r="P3" i="2" s="1"/>
  <c r="CD10" i="3" l="1"/>
  <c r="Q3" i="2"/>
  <c r="R3" i="2" s="1"/>
  <c r="F9" i="12"/>
  <c r="CD11" i="3" l="1"/>
  <c r="S3" i="2"/>
  <c r="T3" i="2" s="1"/>
  <c r="CD12" i="3" l="1"/>
  <c r="U3" i="2"/>
  <c r="V3" i="2" s="1"/>
  <c r="CD13" i="3" l="1"/>
  <c r="W3" i="2"/>
  <c r="X3" i="2" s="1"/>
  <c r="CD14" i="3" l="1"/>
  <c r="Y3" i="2"/>
  <c r="Z3" i="2" s="1"/>
  <c r="CD16" i="3" l="1"/>
  <c r="CD15" i="3"/>
  <c r="AA3" i="2"/>
  <c r="AB3" i="2" s="1"/>
</calcChain>
</file>

<file path=xl/sharedStrings.xml><?xml version="1.0" encoding="utf-8"?>
<sst xmlns="http://schemas.openxmlformats.org/spreadsheetml/2006/main" count="6269" uniqueCount="400">
  <si>
    <t>기본 설정</t>
    <phoneticPr fontId="2" type="noConversion"/>
  </si>
  <si>
    <t>기준 회계월</t>
    <phoneticPr fontId="2" type="noConversion"/>
  </si>
  <si>
    <t>휴가구분</t>
    <phoneticPr fontId="2" type="noConversion"/>
  </si>
  <si>
    <t>공휴일</t>
    <phoneticPr fontId="2" type="noConversion"/>
  </si>
  <si>
    <t>사유</t>
    <phoneticPr fontId="2" type="noConversion"/>
  </si>
  <si>
    <t>▼ 휴가항목 설정</t>
    <phoneticPr fontId="2" type="noConversion"/>
  </si>
  <si>
    <t>▼ 공휴일 설정</t>
    <phoneticPr fontId="2" type="noConversion"/>
  </si>
  <si>
    <t>성명</t>
  </si>
  <si>
    <t>부서</t>
  </si>
  <si>
    <t>직위</t>
  </si>
  <si>
    <t>퇴사일</t>
  </si>
  <si>
    <t>추가</t>
  </si>
  <si>
    <t>공제</t>
  </si>
  <si>
    <t>총연차</t>
  </si>
  <si>
    <t>잔여</t>
  </si>
  <si>
    <t>연차사용기간</t>
    <phoneticPr fontId="2" type="noConversion"/>
  </si>
  <si>
    <t>사용분</t>
    <phoneticPr fontId="2" type="noConversion"/>
  </si>
  <si>
    <t>연차수당분</t>
    <phoneticPr fontId="2" type="noConversion"/>
  </si>
  <si>
    <t>합계</t>
    <phoneticPr fontId="2" type="noConversion"/>
  </si>
  <si>
    <t>연차수당 지급액</t>
    <phoneticPr fontId="2" type="noConversion"/>
  </si>
  <si>
    <t>휴가/연차 사용내역</t>
    <phoneticPr fontId="2" type="noConversion"/>
  </si>
  <si>
    <t>휴가항목</t>
    <phoneticPr fontId="2" type="noConversion"/>
  </si>
  <si>
    <t>연차사용</t>
    <phoneticPr fontId="2" type="noConversion"/>
  </si>
  <si>
    <t>사유</t>
  </si>
  <si>
    <t>비고</t>
  </si>
  <si>
    <t>연차수당 지급내역</t>
    <phoneticPr fontId="2" type="noConversion"/>
  </si>
  <si>
    <t>지급일</t>
    <phoneticPr fontId="2" type="noConversion"/>
  </si>
  <si>
    <t>정산일수</t>
    <phoneticPr fontId="2" type="noConversion"/>
  </si>
  <si>
    <t>지급액</t>
    <phoneticPr fontId="2" type="noConversion"/>
  </si>
  <si>
    <t>연차사용처리</t>
    <phoneticPr fontId="2" type="noConversion"/>
  </si>
  <si>
    <t>연차 추가/공제 내역</t>
    <phoneticPr fontId="2" type="noConversion"/>
  </si>
  <si>
    <t>성명</t>
    <phoneticPr fontId="2" type="noConversion"/>
  </si>
  <si>
    <t>적용연도</t>
  </si>
  <si>
    <t>추가일수</t>
  </si>
  <si>
    <t>공제일수</t>
  </si>
  <si>
    <t>사원별 연차 현황</t>
    <phoneticPr fontId="2" type="noConversion"/>
  </si>
  <si>
    <t>정산기간</t>
    <phoneticPr fontId="2" type="noConversion"/>
  </si>
  <si>
    <t>추가</t>
    <phoneticPr fontId="2" type="noConversion"/>
  </si>
  <si>
    <t>공제</t>
    <phoneticPr fontId="2" type="noConversion"/>
  </si>
  <si>
    <t>사용분</t>
  </si>
  <si>
    <t>연차수당분</t>
  </si>
  <si>
    <t>연차정산서</t>
    <phoneticPr fontId="2" type="noConversion"/>
  </si>
  <si>
    <t>부서</t>
    <phoneticPr fontId="2" type="noConversion"/>
  </si>
  <si>
    <t>직위</t>
    <phoneticPr fontId="2" type="noConversion"/>
  </si>
  <si>
    <t>발생연차</t>
    <phoneticPr fontId="2" type="noConversion"/>
  </si>
  <si>
    <t>MONTH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</si>
  <si>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</si>
  <si>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</si>
  <si>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</si>
  <si>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</si>
  <si>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</si>
  <si>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</si>
  <si>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</si>
  <si>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</si>
  <si>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</si>
  <si>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</si>
  <si>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</si>
  <si>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</si>
  <si>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</si>
  <si>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</si>
  <si>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</si>
  <si>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</si>
  <si>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</si>
  <si>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</si>
  <si>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</si>
  <si>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</si>
  <si>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</si>
  <si>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</si>
  <si>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</si>
  <si>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</si>
  <si>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</si>
  <si>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</si>
  <si>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</si>
  <si>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</si>
  <si>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</si>
  <si>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</si>
  <si>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</si>
  <si>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합계</t>
  </si>
  <si>
    <t>사원 등록 및 휴가 현황 [HOME]</t>
    <phoneticPr fontId="2" type="noConversion"/>
  </si>
  <si>
    <t>연차</t>
  </si>
  <si>
    <t>√</t>
  </si>
  <si>
    <t>반차</t>
  </si>
  <si>
    <t>외출</t>
  </si>
  <si>
    <t>지각</t>
  </si>
  <si>
    <t>조퇴</t>
  </si>
  <si>
    <t>경조휴가</t>
  </si>
  <si>
    <t>예비군</t>
  </si>
  <si>
    <t>삼일절</t>
  </si>
  <si>
    <t>어린이날</t>
  </si>
  <si>
    <t>부처님오신날</t>
  </si>
  <si>
    <t>현충일</t>
  </si>
  <si>
    <t>광복절</t>
  </si>
  <si>
    <t>개천절</t>
  </si>
  <si>
    <t>한글날</t>
  </si>
  <si>
    <t>기준일수(회)</t>
    <phoneticPr fontId="2" type="noConversion"/>
  </si>
  <si>
    <t>연차수당(일)</t>
    <phoneticPr fontId="2" type="noConversion"/>
  </si>
  <si>
    <t>LastDate</t>
    <phoneticPr fontId="2" type="noConversion"/>
  </si>
  <si>
    <t>재직</t>
    <phoneticPr fontId="2" type="noConversion"/>
  </si>
  <si>
    <t>sh3_count</t>
    <phoneticPr fontId="2" type="noConversion"/>
  </si>
  <si>
    <t>sh4_count</t>
    <phoneticPr fontId="2" type="noConversion"/>
  </si>
  <si>
    <t>sh5_count</t>
    <phoneticPr fontId="2" type="noConversion"/>
  </si>
  <si>
    <t>일요일 제외</t>
    <phoneticPr fontId="2" type="noConversion"/>
  </si>
  <si>
    <t>토/일요일 제외</t>
    <phoneticPr fontId="2" type="noConversion"/>
  </si>
  <si>
    <t>제외 없음</t>
    <phoneticPr fontId="2" type="noConversion"/>
  </si>
  <si>
    <t>Year_Option</t>
    <phoneticPr fontId="2" type="noConversion"/>
  </si>
  <si>
    <t xml:space="preserve">  등록</t>
    <phoneticPr fontId="2" type="noConversion"/>
  </si>
  <si>
    <t>연차 외 휴가 사용</t>
    <phoneticPr fontId="2" type="noConversion"/>
  </si>
  <si>
    <t>미사용 연차유급휴가 사용촉진 통지서</t>
    <phoneticPr fontId="2" type="noConversion"/>
  </si>
  <si>
    <t>▼ 사원정보</t>
    <phoneticPr fontId="2" type="noConversion"/>
  </si>
  <si>
    <t>▼ 연차유급휴가 상세정보</t>
    <phoneticPr fontId="2" type="noConversion"/>
  </si>
  <si>
    <t>연차휴가 사용대상기간</t>
    <phoneticPr fontId="2" type="noConversion"/>
  </si>
  <si>
    <t>발생연차 ①</t>
    <phoneticPr fontId="2" type="noConversion"/>
  </si>
  <si>
    <t>사용연차 ②</t>
    <phoneticPr fontId="2" type="noConversion"/>
  </si>
  <si>
    <t>미사용연차 ①-②</t>
    <phoneticPr fontId="2" type="noConversion"/>
  </si>
  <si>
    <t xml:space="preserve">  [근로기준법] 제 61조 연차유급휴가의 사용 촉진 조항에 근거하여 </t>
    <phoneticPr fontId="2" type="noConversion"/>
  </si>
  <si>
    <t>까지</t>
    <phoneticPr fontId="2" type="noConversion"/>
  </si>
  <si>
    <t>미사용 연차유급휴가의 사용시기를 지정하여  통보하지 않는 경우 회사가 사용시기를 지정할 예정입니다.</t>
    <phoneticPr fontId="2" type="noConversion"/>
  </si>
  <si>
    <t>회사의 사용촉구에도 불구하고, 연차유급휴가를 사용하지 않을 경우 연차휴가미사용수당이 지급되지</t>
    <phoneticPr fontId="2" type="noConversion"/>
  </si>
  <si>
    <t>않음을 알려드리오니, 연차유급휴가를 적극적으로 사용해 주시기 바랍니다.</t>
    <phoneticPr fontId="2" type="noConversion"/>
  </si>
  <si>
    <t>○○○○ 주식회사</t>
    <phoneticPr fontId="2" type="noConversion"/>
  </si>
  <si>
    <t>대표이사 ○○○</t>
    <phoneticPr fontId="2" type="noConversion"/>
  </si>
  <si>
    <t>직위</t>
    <phoneticPr fontId="2" type="noConversion"/>
  </si>
  <si>
    <r>
      <rPr>
        <b/>
        <sz val="10"/>
        <color theme="1"/>
        <rFont val="맑은 고딕"/>
        <family val="3"/>
        <charset val="129"/>
        <scheme val="minor"/>
      </rPr>
      <t>'미사용 연차유급휴가 사용계획서'</t>
    </r>
    <r>
      <rPr>
        <sz val="10"/>
        <color theme="1"/>
        <rFont val="맑은 고딕"/>
        <family val="3"/>
        <charset val="129"/>
        <scheme val="minor"/>
      </rPr>
      <t>를 작성하여 통보 바랍니다.</t>
    </r>
    <phoneticPr fontId="2" type="noConversion"/>
  </si>
  <si>
    <t>미사용 연차유급휴가 사용시기 지정통보서</t>
    <phoneticPr fontId="2" type="noConversion"/>
  </si>
  <si>
    <t>미사용 연차유급휴가일수 미통보에 따라 아래와 같이 사용시기를 지정하여 통보드리니 반드시 사용하기 바라며</t>
    <phoneticPr fontId="2" type="noConversion"/>
  </si>
  <si>
    <t>사용하지 않은 경우, 연차가 소멸되더라도 연차미사용 수당은 지급되지 않음을 알려드립니다.</t>
    <phoneticPr fontId="2" type="noConversion"/>
  </si>
  <si>
    <t>▼ 미사용 연차유급휴가 사용시기 지정통보 내역</t>
    <phoneticPr fontId="2" type="noConversion"/>
  </si>
  <si>
    <t>해당월</t>
    <phoneticPr fontId="2" type="noConversion"/>
  </si>
  <si>
    <t>사용시기 지정일</t>
    <phoneticPr fontId="2" type="noConversion"/>
  </si>
  <si>
    <t>사용일수</t>
    <phoneticPr fontId="2" type="noConversion"/>
  </si>
  <si>
    <t>비고</t>
    <phoneticPr fontId="2" type="noConversion"/>
  </si>
  <si>
    <t>미사용 연차유급휴가 사용계획서</t>
    <phoneticPr fontId="2" type="noConversion"/>
  </si>
  <si>
    <t>▼ 연차유급휴가 통지내역</t>
    <phoneticPr fontId="2" type="noConversion"/>
  </si>
  <si>
    <t>▼ 미사용 연차유급휴가 사용계획서</t>
    <phoneticPr fontId="2" type="noConversion"/>
  </si>
  <si>
    <t xml:space="preserve">  [근로기준법] 제 61조 연차유급휴가의 사용촉진에 관한 사항을 서면으로 통보 받아 </t>
    <phoneticPr fontId="2" type="noConversion"/>
  </si>
  <si>
    <t>상기와 같이 미사용 연차유급휴가 사용계획서를 제출합니다.</t>
    <phoneticPr fontId="2" type="noConversion"/>
  </si>
  <si>
    <t xml:space="preserve">작성일  </t>
    <phoneticPr fontId="2" type="noConversion"/>
  </si>
  <si>
    <t xml:space="preserve">작성자  </t>
    <phoneticPr fontId="2" type="noConversion"/>
  </si>
  <si>
    <t>(인)</t>
    <phoneticPr fontId="2" type="noConversion"/>
  </si>
  <si>
    <t>지급된 총 연차수당</t>
  </si>
  <si>
    <t>회계일 기준</t>
  </si>
  <si>
    <t>입사일 기준</t>
  </si>
  <si>
    <t>구분</t>
  </si>
  <si>
    <t>총사용</t>
  </si>
  <si>
    <t xml:space="preserve">   조회</t>
    <phoneticPr fontId="2" type="noConversion"/>
  </si>
  <si>
    <t>Enter_Sh3_date</t>
    <phoneticPr fontId="2" type="noConversion"/>
  </si>
  <si>
    <t>Enter_Sh4_date</t>
    <phoneticPr fontId="2" type="noConversion"/>
  </si>
  <si>
    <t>Search_Sh6_date</t>
    <phoneticPr fontId="2" type="noConversion"/>
  </si>
  <si>
    <t>총사용</t>
    <phoneticPr fontId="2" type="noConversion"/>
  </si>
  <si>
    <t>총사용</t>
    <phoneticPr fontId="2" type="noConversion"/>
  </si>
  <si>
    <t>총연차</t>
    <phoneticPr fontId="2" type="noConversion"/>
  </si>
  <si>
    <t>Search_Sh7_date</t>
    <phoneticPr fontId="2" type="noConversion"/>
  </si>
  <si>
    <t>부서 / 직위</t>
    <phoneticPr fontId="2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</si>
  <si>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2"/>
        <charset val="129"/>
        <scheme val="minor"/>
      </rPr>
      <t>성명</t>
    </r>
    <phoneticPr fontId="2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</si>
  <si>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2"/>
        <charset val="129"/>
        <scheme val="minor"/>
      </rPr>
      <t>입사일</t>
    </r>
    <phoneticPr fontId="2" type="noConversion"/>
  </si>
  <si>
    <t xml:space="preserve">  연도선택</t>
    <phoneticPr fontId="2" type="noConversion"/>
  </si>
  <si>
    <t>통상임금(월)</t>
    <phoneticPr fontId="2" type="noConversion"/>
  </si>
  <si>
    <t>연간 현황</t>
    <phoneticPr fontId="2" type="noConversion"/>
  </si>
  <si>
    <t>연도</t>
    <phoneticPr fontId="2" type="noConversion"/>
  </si>
  <si>
    <t xml:space="preserve">  현황갱신</t>
    <phoneticPr fontId="2" type="noConversion"/>
  </si>
  <si>
    <t>연차일수 소수점</t>
    <phoneticPr fontId="2" type="noConversion"/>
  </si>
  <si>
    <t>일</t>
    <phoneticPr fontId="2" type="noConversion"/>
  </si>
  <si>
    <t>%</t>
    <phoneticPr fontId="2" type="noConversion"/>
  </si>
  <si>
    <t>연간현황</t>
    <phoneticPr fontId="2" type="noConversion"/>
  </si>
  <si>
    <t>월</t>
    <phoneticPr fontId="2" type="noConversion"/>
  </si>
  <si>
    <t>누적</t>
    <phoneticPr fontId="2" type="noConversion"/>
  </si>
  <si>
    <t>연차차감분</t>
    <phoneticPr fontId="2" type="noConversion"/>
  </si>
  <si>
    <t>요일별</t>
    <phoneticPr fontId="2" type="noConversion"/>
  </si>
  <si>
    <t>Mon</t>
    <phoneticPr fontId="2" type="noConversion"/>
  </si>
  <si>
    <t>Tue</t>
    <phoneticPr fontId="2" type="noConversion"/>
  </si>
  <si>
    <t>Wed</t>
    <phoneticPr fontId="2" type="noConversion"/>
  </si>
  <si>
    <t>Thu</t>
    <phoneticPr fontId="2" type="noConversion"/>
  </si>
  <si>
    <t>Fri</t>
    <phoneticPr fontId="2" type="noConversion"/>
  </si>
  <si>
    <t>Sat</t>
    <phoneticPr fontId="2" type="noConversion"/>
  </si>
  <si>
    <t>Sun</t>
    <phoneticPr fontId="2" type="noConversion"/>
  </si>
  <si>
    <t>MON</t>
    <phoneticPr fontId="2" type="noConversion"/>
  </si>
  <si>
    <t>▼ 요일별 휴가 사용 현황</t>
    <phoneticPr fontId="2" type="noConversion"/>
  </si>
  <si>
    <t>TUE</t>
    <phoneticPr fontId="2" type="noConversion"/>
  </si>
  <si>
    <t>WED</t>
    <phoneticPr fontId="2" type="noConversion"/>
  </si>
  <si>
    <t>THU</t>
    <phoneticPr fontId="2" type="noConversion"/>
  </si>
  <si>
    <t>FRI</t>
    <phoneticPr fontId="2" type="noConversion"/>
  </si>
  <si>
    <t>SAT</t>
    <phoneticPr fontId="2" type="noConversion"/>
  </si>
  <si>
    <t>SUN</t>
    <phoneticPr fontId="2" type="noConversion"/>
  </si>
  <si>
    <t>▼ 월별 휴가 사용 현황</t>
    <phoneticPr fontId="2" type="noConversion"/>
  </si>
  <si>
    <t>누적-연차</t>
    <phoneticPr fontId="2" type="noConversion"/>
  </si>
  <si>
    <t>연차 사용율 (사용분+연차수당분)</t>
    <phoneticPr fontId="2" type="noConversion"/>
  </si>
  <si>
    <t>월별 세로 차트 - 월별 사용 누적 / 연차차감분</t>
    <phoneticPr fontId="2" type="noConversion"/>
  </si>
  <si>
    <t>가로차트</t>
    <phoneticPr fontId="2" type="noConversion"/>
  </si>
  <si>
    <t>cboHoli</t>
    <phoneticPr fontId="2" type="noConversion"/>
  </si>
  <si>
    <t>통보기간</t>
    <phoneticPr fontId="2" type="noConversion"/>
  </si>
  <si>
    <t>통보기간</t>
  </si>
  <si>
    <t>11월</t>
    <phoneticPr fontId="2" type="noConversion"/>
  </si>
  <si>
    <t>12월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</si>
  <si>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</si>
  <si>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</si>
  <si>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</si>
  <si>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4월</t>
    <phoneticPr fontId="2" type="noConversion"/>
  </si>
  <si>
    <t>5월</t>
    <phoneticPr fontId="2" type="noConversion"/>
  </si>
  <si>
    <t>6월</t>
    <phoneticPr fontId="2" type="noConversion"/>
  </si>
  <si>
    <t>7월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</si>
  <si>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</si>
  <si>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</si>
  <si>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</si>
  <si>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잔여</t>
    <phoneticPr fontId="2" type="noConversion"/>
  </si>
  <si>
    <t xml:space="preserve">  집계기준</t>
    <phoneticPr fontId="2" type="noConversion"/>
  </si>
  <si>
    <t xml:space="preserve">  주간현황</t>
    <phoneticPr fontId="2" type="noConversion"/>
  </si>
  <si>
    <t>Security</t>
    <phoneticPr fontId="2" type="noConversion"/>
  </si>
  <si>
    <t>휴가일수(연차외)</t>
    <phoneticPr fontId="2" type="noConversion"/>
  </si>
  <si>
    <t>연차일수</t>
    <phoneticPr fontId="2" type="noConversion"/>
  </si>
  <si>
    <t>사용일자</t>
    <phoneticPr fontId="2" type="noConversion"/>
  </si>
  <si>
    <t>NAMPC</t>
  </si>
  <si>
    <t>1월1일</t>
  </si>
  <si>
    <t>설날</t>
  </si>
  <si>
    <t>추석</t>
  </si>
  <si>
    <t>기독탄신일</t>
  </si>
  <si>
    <t>남한석</t>
  </si>
  <si>
    <t>이상선</t>
  </si>
  <si>
    <t>이은석</t>
  </si>
  <si>
    <t>이정호</t>
  </si>
  <si>
    <t>한윤호</t>
  </si>
  <si>
    <t>이미선</t>
  </si>
  <si>
    <t>김경호</t>
  </si>
  <si>
    <t>이영선</t>
  </si>
  <si>
    <t>남관원</t>
  </si>
  <si>
    <t>최호삼</t>
  </si>
  <si>
    <t>전상현</t>
  </si>
  <si>
    <t>김영민</t>
  </si>
  <si>
    <t>김남길</t>
  </si>
  <si>
    <t>송지현</t>
  </si>
  <si>
    <t>한승환</t>
  </si>
  <si>
    <t>이찬규</t>
  </si>
  <si>
    <t>우정은</t>
  </si>
  <si>
    <t>영업지원</t>
  </si>
  <si>
    <t>디자인팀</t>
  </si>
  <si>
    <t>영업관리</t>
  </si>
  <si>
    <t>경영지원</t>
  </si>
  <si>
    <t>경영관리</t>
  </si>
  <si>
    <t>출력실장</t>
  </si>
  <si>
    <t>디자인</t>
  </si>
  <si>
    <t>이사</t>
  </si>
  <si>
    <t>차장</t>
  </si>
  <si>
    <t>과장</t>
  </si>
  <si>
    <t>부장</t>
  </si>
  <si>
    <t>주임</t>
  </si>
  <si>
    <t>대리</t>
  </si>
  <si>
    <t>실장</t>
  </si>
  <si>
    <t>사원</t>
  </si>
  <si>
    <t>팀장</t>
  </si>
  <si>
    <t>대표</t>
  </si>
  <si>
    <t>1년차</t>
  </si>
  <si>
    <t>2년차</t>
  </si>
  <si>
    <t>1건</t>
  </si>
  <si>
    <t>백신휴가</t>
  </si>
  <si>
    <t>갑자기 쓴 휴가</t>
  </si>
  <si>
    <t>연차사용</t>
  </si>
  <si>
    <t>여름휴가 및 연차</t>
  </si>
  <si>
    <t>연차 및 신혼여행</t>
  </si>
  <si>
    <t>임신휴가</t>
    <phoneticPr fontId="2" type="noConversion"/>
  </si>
  <si>
    <t>연차</t>
    <phoneticPr fontId="2" type="noConversion"/>
  </si>
  <si>
    <t>오후반차</t>
    <phoneticPr fontId="2" type="noConversion"/>
  </si>
  <si>
    <t>안소현</t>
  </si>
  <si>
    <t>대리</t>
    <phoneticPr fontId="2" type="noConversion"/>
  </si>
  <si>
    <t>2020년 이월</t>
    <phoneticPr fontId="2" type="noConversion"/>
  </si>
  <si>
    <t>마감</t>
    <phoneticPr fontId="2" type="noConversion"/>
  </si>
  <si>
    <t>여름휴가</t>
  </si>
  <si>
    <t>이요단</t>
  </si>
  <si>
    <t>사원</t>
    <phoneticPr fontId="2" type="noConversion"/>
  </si>
  <si>
    <t>염성국</t>
  </si>
  <si>
    <t>염성국</t>
    <phoneticPr fontId="2" type="noConversion"/>
  </si>
  <si>
    <t>과장</t>
    <phoneticPr fontId="2" type="noConversion"/>
  </si>
  <si>
    <t>백신휴가(자료제출)</t>
  </si>
  <si>
    <t>백신</t>
  </si>
  <si>
    <t>수술연차</t>
  </si>
  <si>
    <t>수술일은 1일 병가인정</t>
  </si>
  <si>
    <t>박상영</t>
  </si>
  <si>
    <t>김동진</t>
  </si>
  <si>
    <t>이세아</t>
  </si>
  <si>
    <t>황정웅</t>
  </si>
  <si>
    <t>대체휴무일 1일</t>
    <phoneticPr fontId="2" type="noConversion"/>
  </si>
  <si>
    <t>대체휴일</t>
    <phoneticPr fontId="2" type="noConversion"/>
  </si>
  <si>
    <t>확진자 동선겹침</t>
    <phoneticPr fontId="2" type="noConversion"/>
  </si>
  <si>
    <t>반차</t>
    <phoneticPr fontId="2" type="noConversion"/>
  </si>
  <si>
    <t>백신휴가</t>
    <phoneticPr fontId="2" type="noConversion"/>
  </si>
  <si>
    <t>휴가</t>
  </si>
  <si>
    <t>한윤호</t>
    <phoneticPr fontId="2" type="noConversion"/>
  </si>
  <si>
    <t>송지현</t>
    <phoneticPr fontId="2" type="noConversion"/>
  </si>
  <si>
    <t>오전반차</t>
  </si>
  <si>
    <t>술먹고 연차</t>
  </si>
  <si>
    <t>코로나검사</t>
  </si>
  <si>
    <t>이하은</t>
  </si>
  <si>
    <t>디자인팀</t>
    <phoneticPr fontId="2" type="noConversion"/>
  </si>
  <si>
    <t>신홍범</t>
  </si>
  <si>
    <t>신홍범</t>
    <phoneticPr fontId="2" type="noConversion"/>
  </si>
  <si>
    <t>영업지원</t>
    <phoneticPr fontId="2" type="noConversion"/>
  </si>
  <si>
    <t>연차(아버지 상 +1)</t>
  </si>
  <si>
    <t>12월 연차</t>
  </si>
  <si>
    <t>대통령선거일</t>
  </si>
  <si>
    <t>전국동시지방선거</t>
  </si>
  <si>
    <t>대체공휴일</t>
  </si>
  <si>
    <t>술먹고 연차</t>
    <phoneticPr fontId="2" type="noConversion"/>
  </si>
  <si>
    <t>2021년 초과연차사용</t>
  </si>
  <si>
    <t>21년 추가사용</t>
  </si>
  <si>
    <t>21년 미사용분</t>
  </si>
  <si>
    <t>연차(폐에 멍듬)</t>
  </si>
  <si>
    <t>연차(결혼식)</t>
  </si>
  <si>
    <t>연차(코로나) 날짜착각</t>
  </si>
  <si>
    <t>연차(맹장)</t>
  </si>
  <si>
    <t>할머니 조사</t>
  </si>
  <si>
    <t>아파서 갑자기 연차</t>
  </si>
  <si>
    <t>정왕택</t>
  </si>
  <si>
    <t>이은석(과거)</t>
  </si>
  <si>
    <t>최재주</t>
  </si>
  <si>
    <t>예비군 1일</t>
  </si>
  <si>
    <t>아파서 연차(결근)</t>
  </si>
  <si>
    <t>개인사유</t>
  </si>
  <si>
    <t>장모님 조사</t>
    <phoneticPr fontId="2" type="noConversion"/>
  </si>
  <si>
    <t>조사</t>
    <phoneticPr fontId="2" type="noConversion"/>
  </si>
  <si>
    <t>김세미</t>
  </si>
  <si>
    <t>반차</t>
    <phoneticPr fontId="2" type="noConversion"/>
  </si>
  <si>
    <t>반차</t>
    <phoneticPr fontId="2" type="noConversion"/>
  </si>
  <si>
    <t>연차</t>
    <phoneticPr fontId="2" type="noConversion"/>
  </si>
  <si>
    <t>휴가중 근무</t>
    <phoneticPr fontId="2" type="noConversion"/>
  </si>
  <si>
    <t>작년분</t>
    <phoneticPr fontId="2" type="noConversion"/>
  </si>
  <si>
    <t>22년 초과사용</t>
  </si>
  <si>
    <t>22년 추가사용</t>
  </si>
  <si>
    <t>장윤창</t>
  </si>
  <si>
    <t>최요한</t>
  </si>
  <si>
    <t>반차</t>
    <phoneticPr fontId="2" type="noConversion"/>
  </si>
  <si>
    <t>장진</t>
  </si>
  <si>
    <t>우정은</t>
    <phoneticPr fontId="2" type="noConversion"/>
  </si>
  <si>
    <t>연차</t>
    <phoneticPr fontId="2" type="noConversion"/>
  </si>
  <si>
    <t>반차</t>
    <phoneticPr fontId="2" type="noConversion"/>
  </si>
  <si>
    <t>김은미</t>
    <phoneticPr fontId="2" type="noConversion"/>
  </si>
  <si>
    <t>사원</t>
    <phoneticPr fontId="2" type="noConversion"/>
  </si>
  <si>
    <t>주임</t>
    <phoneticPr fontId="2" type="noConversion"/>
  </si>
  <si>
    <t>정왕택(컴)</t>
  </si>
  <si>
    <t>김진석</t>
  </si>
  <si>
    <t>이현철</t>
  </si>
  <si>
    <t>이현철</t>
    <phoneticPr fontId="2" type="noConversion"/>
  </si>
  <si>
    <t>반차</t>
    <phoneticPr fontId="2" type="noConversion"/>
  </si>
  <si>
    <t>여름휴가</t>
    <phoneticPr fontId="2" type="noConversion"/>
  </si>
  <si>
    <t>사모님 조사</t>
    <phoneticPr fontId="2" type="noConversion"/>
  </si>
  <si>
    <t>조사</t>
    <phoneticPr fontId="2" type="noConversion"/>
  </si>
  <si>
    <t>사모님병원</t>
    <phoneticPr fontId="2" type="noConversion"/>
  </si>
  <si>
    <t>반차</t>
    <phoneticPr fontId="2" type="noConversion"/>
  </si>
  <si>
    <t>교통사고 병가</t>
    <phoneticPr fontId="2" type="noConversion"/>
  </si>
  <si>
    <t>병가</t>
    <phoneticPr fontId="2" type="noConversion"/>
  </si>
  <si>
    <t>조사휴가</t>
    <phoneticPr fontId="2" type="noConversion"/>
  </si>
  <si>
    <t>김소라</t>
  </si>
  <si>
    <t>김소라</t>
    <phoneticPr fontId="2" type="noConversion"/>
  </si>
  <si>
    <t>반차</t>
    <phoneticPr fontId="2" type="noConversion"/>
  </si>
  <si>
    <t>김수빈</t>
  </si>
  <si>
    <t>김다한</t>
  </si>
  <si>
    <t>김윤섭</t>
  </si>
  <si>
    <t>김윤섭</t>
    <phoneticPr fontId="2" type="noConversion"/>
  </si>
  <si>
    <t>예비군</t>
    <phoneticPr fontId="2" type="noConversion"/>
  </si>
  <si>
    <t>외조부모님 조사</t>
    <phoneticPr fontId="2" type="noConversion"/>
  </si>
  <si>
    <t>외조부님 조사</t>
    <phoneticPr fontId="2" type="noConversion"/>
  </si>
  <si>
    <t>강준태</t>
  </si>
  <si>
    <t>무급병가</t>
    <phoneticPr fontId="2" type="noConversion"/>
  </si>
  <si>
    <t>무급휴가</t>
    <phoneticPr fontId="2" type="noConversion"/>
  </si>
  <si>
    <t>신혼</t>
    <phoneticPr fontId="2" type="noConversion"/>
  </si>
  <si>
    <t>신혼여행</t>
    <phoneticPr fontId="2" type="noConversion"/>
  </si>
  <si>
    <t>조회기간 : 2024-01-01 ~ 2024-12-31</t>
    <phoneticPr fontId="2" type="noConversion"/>
  </si>
  <si>
    <t>디자인팀</t>
    <phoneticPr fontId="2" type="noConversion"/>
  </si>
  <si>
    <t>대체공휴일(설날)</t>
  </si>
  <si>
    <t>국회의원선거</t>
  </si>
  <si>
    <t>대체공휴일(어린이날)</t>
  </si>
  <si>
    <t>임시공휴일</t>
  </si>
  <si>
    <t>유재곤</t>
  </si>
  <si>
    <t>한승환</t>
    <phoneticPr fontId="2" type="noConversion"/>
  </si>
  <si>
    <t>김수빈</t>
    <phoneticPr fontId="2" type="noConversion"/>
  </si>
  <si>
    <t>김선우</t>
    <phoneticPr fontId="2" type="noConversion"/>
  </si>
  <si>
    <t>장은지</t>
    <phoneticPr fontId="2" type="noConversion"/>
  </si>
  <si>
    <t>조회 기준일 : 2025-09-16</t>
    <phoneticPr fontId="2" type="noConversion"/>
  </si>
  <si>
    <t>2023-08-21~2025-09-16</t>
  </si>
  <si>
    <t>영업지원 / 사원</t>
    <phoneticPr fontId="2" type="noConversion"/>
  </si>
  <si>
    <t>2023-08-21 ~ 2023-12-31</t>
  </si>
  <si>
    <t>2023-08-21 ~ 2024-08-20</t>
  </si>
  <si>
    <t>2024-01-01 ~ 2024-12-31</t>
  </si>
  <si>
    <t>2024-08-21 ~ 2025-08-20</t>
  </si>
  <si>
    <t>3년차</t>
  </si>
  <si>
    <t>정산기간 : 2023-08-21 ~ 2025-09-16</t>
    <phoneticPr fontId="2" type="noConversion"/>
  </si>
  <si>
    <t>2025-01-01 ~ 2025-09-16</t>
  </si>
  <si>
    <t>2025-08-21 ~ 2025-09-16</t>
  </si>
  <si>
    <t>박승태</t>
  </si>
  <si>
    <t>이관식</t>
    <phoneticPr fontId="2" type="noConversion"/>
  </si>
  <si>
    <t>영업관리</t>
    <phoneticPr fontId="2" type="noConversion"/>
  </si>
  <si>
    <t>팀장</t>
    <phoneticPr fontId="2" type="noConversion"/>
  </si>
  <si>
    <t>김선우</t>
  </si>
  <si>
    <t>반차</t>
    <phoneticPr fontId="2" type="noConversion"/>
  </si>
  <si>
    <t>성묘</t>
    <phoneticPr fontId="2" type="noConversion"/>
  </si>
  <si>
    <t>장은지</t>
  </si>
  <si>
    <t>뽑기</t>
    <phoneticPr fontId="2" type="noConversion"/>
  </si>
  <si>
    <t>* 연차사용촉진 1차 : 2026-07-01 ~ 2026-07-10   |  2차  ~ 2026-10-31</t>
    <phoneticPr fontId="2" type="noConversion"/>
  </si>
  <si>
    <t>연제현</t>
  </si>
  <si>
    <t>2026-01-01~2026-12-31</t>
  </si>
  <si>
    <t>김선율</t>
    <phoneticPr fontId="2" type="noConversion"/>
  </si>
  <si>
    <t>부장</t>
    <phoneticPr fontId="2" type="noConversion"/>
  </si>
  <si>
    <t>2026-01-05~2026-12-31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</si>
</sst>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#,##0_ "/>
    <numFmt numFmtId="177" formatCode="General&quot;월&quot;"/>
    <numFmt numFmtId="178" formatCode="yyyy&quot;년&quot;\ m&quot;월&quot;\ d&quot;일&quot;;@"/>
    <numFmt numFmtId="179" formatCode="ddd"/>
    <numFmt numFmtId="180" formatCode="General&quot;년&quot;"/>
    <numFmt numFmtId="181" formatCode="#,##0_ &quot;원&quot;"/>
    <numFmt numFmtId="182" formatCode="mm&quot;월&quot;\ dd&quot;일&quot;"/>
  </numFmts>
  <fonts count="43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2"/>
      <color theme="4"/>
      <name val="맑은 고딕"/>
      <family val="3"/>
      <charset val="129"/>
      <scheme val="minor"/>
    </font>
    <font>
      <sz val="9"/>
      <color rgb="FF0070C0"/>
      <name val="맑은 고딕"/>
      <family val="3"/>
      <charset val="129"/>
      <scheme val="minor"/>
    </font>
    <font>
      <sz val="9"/>
      <color rgb="FFC0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D85D4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4"/>
      <name val="맑은 고딕"/>
      <family val="3"/>
      <charset val="129"/>
      <scheme val="minor"/>
    </font>
    <font>
      <b/>
      <sz val="9"/>
      <color rgb="FFC0000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8"/>
      <color rgb="FF825142"/>
      <name val="맑은 고딕"/>
      <family val="3"/>
      <charset val="129"/>
      <scheme val="minor"/>
    </font>
    <font>
      <b/>
      <sz val="10"/>
      <color rgb="FF825142"/>
      <name val="맑은 고딕"/>
      <family val="3"/>
      <charset val="129"/>
      <scheme val="minor"/>
    </font>
    <font>
      <b/>
      <sz val="18"/>
      <color theme="4"/>
      <name val="맑은 고딕"/>
      <family val="3"/>
      <charset val="129"/>
      <scheme val="minor"/>
    </font>
    <font>
      <b/>
      <sz val="9"/>
      <color rgb="FF825142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rgb="FF0070C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12"/>
      <color rgb="FFC00000"/>
      <name val="맑은 고딕"/>
      <family val="3"/>
      <charset val="129"/>
      <scheme val="minor"/>
    </font>
    <font>
      <sz val="9"/>
      <color theme="4"/>
      <name val="맑은 고딕"/>
      <family val="3"/>
      <charset val="129"/>
      <scheme val="minor"/>
    </font>
    <font>
      <b/>
      <sz val="10"/>
      <color rgb="FF0070C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sz val="8"/>
      <color theme="0" tint="-0.499984740745262"/>
      <name val="맑은 고딕"/>
      <family val="3"/>
      <charset val="129"/>
      <scheme val="minor"/>
    </font>
    <font>
      <sz val="9"/>
      <color rgb="FFBEA092"/>
      <name val="맑은 고딕"/>
      <family val="3"/>
      <charset val="129"/>
      <scheme val="minor"/>
    </font>
    <font>
      <sz val="8"/>
      <color theme="8"/>
      <name val="맑은 고딕"/>
      <family val="3"/>
      <charset val="129"/>
      <scheme val="minor"/>
    </font>
    <font>
      <sz val="8"/>
      <color rgb="FFFF9999"/>
      <name val="맑은 고딕"/>
      <family val="3"/>
      <charset val="129"/>
      <scheme val="minor"/>
    </font>
    <font>
      <b/>
      <sz val="12"/>
      <color rgb="FF825142"/>
      <name val="맑은 고딕"/>
      <family val="3"/>
      <charset val="129"/>
      <scheme val="minor"/>
    </font>
    <font>
      <sz val="9"/>
      <color rgb="FFFF7C80"/>
      <name val="맑은 고딕"/>
      <family val="2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9"/>
      <color theme="1" tint="0.34998626667073579"/>
      <name val="맑은 고딕"/>
      <family val="3"/>
      <charset val="129"/>
      <scheme val="minor"/>
    </font>
    <font>
      <sz val="9"/>
      <color theme="1" tint="0.34998626667073579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8F8F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EEE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8F4F2"/>
        <bgColor indexed="64"/>
      </patternFill>
    </fill>
    <fill>
      <patternFill patternType="solid">
        <fgColor rgb="FFFEFBFA"/>
        <bgColor indexed="64"/>
      </patternFill>
    </fill>
    <fill>
      <patternFill patternType="solid">
        <fgColor rgb="FFFF0000"/>
        <bgColor indexed="64"/>
      </patternFill>
    </fill>
  </fills>
  <borders count="126">
    <border>
      <left/>
      <right/>
      <top/>
      <bottom/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/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/>
      <right style="thin">
        <color theme="2"/>
      </right>
      <top/>
      <bottom style="thin">
        <color theme="2"/>
      </bottom>
      <diagonal/>
    </border>
    <border>
      <left/>
      <right/>
      <top style="thin">
        <color rgb="FF825142"/>
      </top>
      <bottom style="thin">
        <color rgb="FF825142"/>
      </bottom>
      <diagonal/>
    </border>
    <border>
      <left/>
      <right/>
      <top/>
      <bottom style="medium">
        <color rgb="FF825142"/>
      </bottom>
      <diagonal/>
    </border>
    <border>
      <left/>
      <right style="hair">
        <color theme="0" tint="-0.14996795556505021"/>
      </right>
      <top style="medium">
        <color rgb="FF825142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825142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/>
      <top style="thin">
        <color rgb="FF825142"/>
      </top>
      <bottom/>
      <diagonal/>
    </border>
    <border>
      <left/>
      <right style="thin">
        <color rgb="FFF5EEEB"/>
      </right>
      <top style="thin">
        <color rgb="FF825142"/>
      </top>
      <bottom style="thin">
        <color rgb="FF825142"/>
      </bottom>
      <diagonal/>
    </border>
    <border>
      <left style="hair">
        <color theme="0" tint="-0.14996795556505021"/>
      </left>
      <right/>
      <top style="medium">
        <color rgb="FF825142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rgb="FF825142"/>
      </top>
      <bottom style="medium">
        <color rgb="FF825142"/>
      </bottom>
      <diagonal/>
    </border>
    <border>
      <left style="hair">
        <color theme="0" tint="-0.14996795556505021"/>
      </left>
      <right/>
      <top style="hair">
        <color theme="0" tint="-0.1499679555650502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n">
        <color rgb="FF825142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n">
        <color rgb="FF825142"/>
      </bottom>
      <diagonal/>
    </border>
    <border>
      <left style="hair">
        <color theme="0" tint="-0.14996795556505021"/>
      </left>
      <right/>
      <top style="hair">
        <color theme="0" tint="-0.14996795556505021"/>
      </top>
      <bottom style="thin">
        <color rgb="FF825142"/>
      </bottom>
      <diagonal/>
    </border>
    <border>
      <left/>
      <right style="hair">
        <color theme="0" tint="-0.14996795556505021"/>
      </right>
      <top style="thin">
        <color rgb="FF825142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rgb="FF825142"/>
      </top>
      <bottom style="hair">
        <color theme="0" tint="-0.14996795556505021"/>
      </bottom>
      <diagonal/>
    </border>
    <border>
      <left style="hair">
        <color theme="0" tint="-0.14996795556505021"/>
      </left>
      <right/>
      <top style="thin">
        <color rgb="FF825142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hair">
        <color theme="0" tint="-0.14996795556505021"/>
      </bottom>
      <diagonal/>
    </border>
    <border>
      <left style="thin">
        <color theme="0" tint="-0.14996795556505021"/>
      </left>
      <right/>
      <top style="hair">
        <color theme="0" tint="-0.14996795556505021"/>
      </top>
      <bottom style="thin">
        <color theme="0" tint="-0.14996795556505021"/>
      </bottom>
      <diagonal/>
    </border>
    <border>
      <left style="thick">
        <color rgb="FFE6E6E6"/>
      </left>
      <right style="hair">
        <color theme="0" tint="-0.14996795556505021"/>
      </right>
      <top style="thin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E6E6E6"/>
      </right>
      <top style="thin">
        <color theme="0" tint="-0.14996795556505021"/>
      </top>
      <bottom style="hair">
        <color theme="0" tint="-0.14996795556505021"/>
      </bottom>
      <diagonal/>
    </border>
    <border>
      <left style="thick">
        <color rgb="FFE6E6E6"/>
      </left>
      <right style="hair">
        <color theme="0" tint="-0.14996795556505021"/>
      </right>
      <top style="hair">
        <color theme="0" tint="-0.14996795556505021"/>
      </top>
      <bottom style="thin">
        <color theme="0" tint="-0.14996795556505021"/>
      </bottom>
      <diagonal/>
    </border>
    <border>
      <left style="hair">
        <color theme="0" tint="-0.14996795556505021"/>
      </left>
      <right style="thick">
        <color rgb="FFE6E6E6"/>
      </right>
      <top style="hair">
        <color theme="0" tint="-0.14996795556505021"/>
      </top>
      <bottom style="thin">
        <color theme="0" tint="-0.14996795556505021"/>
      </bottom>
      <diagonal/>
    </border>
    <border>
      <left style="hair">
        <color theme="0" tint="-0.14996795556505021"/>
      </left>
      <right/>
      <top style="thin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/>
      <top style="hair">
        <color theme="0" tint="-0.14996795556505021"/>
      </top>
      <bottom style="thin">
        <color theme="0" tint="-0.14996795556505021"/>
      </bottom>
      <diagonal/>
    </border>
    <border>
      <left style="thin">
        <color rgb="FF825142"/>
      </left>
      <right style="hair">
        <color theme="0" tint="-0.14996795556505021"/>
      </right>
      <top style="thin">
        <color rgb="FF825142"/>
      </top>
      <bottom style="medium">
        <color rgb="FF825142"/>
      </bottom>
      <diagonal/>
    </border>
    <border>
      <left style="hair">
        <color theme="0" tint="-0.14996795556505021"/>
      </left>
      <right style="thin">
        <color rgb="FF825142"/>
      </right>
      <top style="thin">
        <color rgb="FF825142"/>
      </top>
      <bottom style="medium">
        <color rgb="FF825142"/>
      </bottom>
      <diagonal/>
    </border>
    <border>
      <left style="thin">
        <color rgb="FF825142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rgb="FF825142"/>
      </right>
      <top/>
      <bottom style="hair">
        <color theme="0" tint="-0.14996795556505021"/>
      </bottom>
      <diagonal/>
    </border>
    <border>
      <left style="thin">
        <color rgb="FF825142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rgb="FF825142"/>
      </right>
      <top style="hair">
        <color theme="0" tint="-0.14996795556505021"/>
      </top>
      <bottom style="hair">
        <color theme="0" tint="-0.14996795556505021"/>
      </bottom>
      <diagonal/>
    </border>
    <border>
      <left style="thin">
        <color rgb="FF825142"/>
      </left>
      <right style="hair">
        <color theme="0" tint="-0.14996795556505021"/>
      </right>
      <top style="hair">
        <color theme="0" tint="-0.14996795556505021"/>
      </top>
      <bottom style="thin">
        <color rgb="FF825142"/>
      </bottom>
      <diagonal/>
    </border>
    <border>
      <left style="hair">
        <color theme="0" tint="-0.14996795556505021"/>
      </left>
      <right style="thin">
        <color rgb="FF825142"/>
      </right>
      <top style="hair">
        <color theme="0" tint="-0.14996795556505021"/>
      </top>
      <bottom style="thin">
        <color rgb="FF825142"/>
      </bottom>
      <diagonal/>
    </border>
    <border>
      <left style="thin">
        <color rgb="FF825142"/>
      </left>
      <right/>
      <top/>
      <bottom style="medium">
        <color rgb="FF825142"/>
      </bottom>
      <diagonal/>
    </border>
    <border>
      <left/>
      <right style="thin">
        <color rgb="FF825142"/>
      </right>
      <top/>
      <bottom style="medium">
        <color rgb="FF825142"/>
      </bottom>
      <diagonal/>
    </border>
    <border>
      <left style="thin">
        <color rgb="FF825142"/>
      </left>
      <right/>
      <top/>
      <bottom/>
      <diagonal/>
    </border>
    <border>
      <left/>
      <right style="thin">
        <color rgb="FF825142"/>
      </right>
      <top/>
      <bottom/>
      <diagonal/>
    </border>
    <border>
      <left style="hair">
        <color rgb="FF825142"/>
      </left>
      <right/>
      <top/>
      <bottom style="medium">
        <color rgb="FF825142"/>
      </bottom>
      <diagonal/>
    </border>
    <border>
      <left/>
      <right style="hair">
        <color rgb="FF825142"/>
      </right>
      <top/>
      <bottom style="medium">
        <color rgb="FF825142"/>
      </bottom>
      <diagonal/>
    </border>
    <border>
      <left style="hair">
        <color rgb="FF825142"/>
      </left>
      <right/>
      <top/>
      <bottom/>
      <diagonal/>
    </border>
    <border>
      <left/>
      <right style="hair">
        <color rgb="FF825142"/>
      </right>
      <top/>
      <bottom/>
      <diagonal/>
    </border>
    <border>
      <left style="hair">
        <color rgb="FF825142"/>
      </left>
      <right style="thin">
        <color rgb="FF825142"/>
      </right>
      <top/>
      <bottom/>
      <diagonal/>
    </border>
    <border>
      <left style="hair">
        <color rgb="FF825142"/>
      </left>
      <right style="thin">
        <color rgb="FF825142"/>
      </right>
      <top/>
      <bottom style="medium">
        <color rgb="FF825142"/>
      </bottom>
      <diagonal/>
    </border>
    <border>
      <left style="thin">
        <color theme="0"/>
      </left>
      <right/>
      <top style="thin">
        <color rgb="FF825142"/>
      </top>
      <bottom style="medium">
        <color rgb="FF825142"/>
      </bottom>
      <diagonal/>
    </border>
    <border>
      <left/>
      <right style="thin">
        <color theme="0"/>
      </right>
      <top style="thin">
        <color rgb="FF825142"/>
      </top>
      <bottom style="medium">
        <color rgb="FF825142"/>
      </bottom>
      <diagonal/>
    </border>
    <border>
      <left style="thin">
        <color theme="0"/>
      </left>
      <right/>
      <top/>
      <bottom style="hair">
        <color theme="0" tint="-0.14996795556505021"/>
      </bottom>
      <diagonal/>
    </border>
    <border>
      <left/>
      <right style="thin">
        <color theme="0"/>
      </right>
      <top/>
      <bottom style="hair">
        <color theme="0" tint="-0.14996795556505021"/>
      </bottom>
      <diagonal/>
    </border>
    <border>
      <left style="thin">
        <color theme="0"/>
      </left>
      <right/>
      <top style="hair">
        <color theme="0" tint="-0.14996795556505021"/>
      </top>
      <bottom style="hair">
        <color theme="0" tint="-0.14996795556505021"/>
      </bottom>
      <diagonal/>
    </border>
    <border>
      <left/>
      <right style="thin">
        <color theme="0"/>
      </right>
      <top style="hair">
        <color theme="0" tint="-0.14996795556505021"/>
      </top>
      <bottom style="hair">
        <color theme="0" tint="-0.14996795556505021"/>
      </bottom>
      <diagonal/>
    </border>
    <border>
      <left style="thin">
        <color theme="0"/>
      </left>
      <right/>
      <top style="hair">
        <color theme="0" tint="-0.14996795556505021"/>
      </top>
      <bottom style="thin">
        <color rgb="FF825142"/>
      </bottom>
      <diagonal/>
    </border>
    <border>
      <left/>
      <right style="thin">
        <color theme="0"/>
      </right>
      <top style="hair">
        <color theme="0" tint="-0.14996795556505021"/>
      </top>
      <bottom style="thin">
        <color rgb="FF825142"/>
      </bottom>
      <diagonal/>
    </border>
    <border>
      <left style="thin">
        <color rgb="FFE6E6E6"/>
      </left>
      <right/>
      <top style="thin">
        <color rgb="FFE6E6E6"/>
      </top>
      <bottom/>
      <diagonal/>
    </border>
    <border>
      <left/>
      <right/>
      <top style="thin">
        <color rgb="FFE6E6E6"/>
      </top>
      <bottom/>
      <diagonal/>
    </border>
    <border>
      <left/>
      <right style="thin">
        <color rgb="FFE6E6E6"/>
      </right>
      <top style="thin">
        <color rgb="FFE6E6E6"/>
      </top>
      <bottom/>
      <diagonal/>
    </border>
    <border>
      <left style="thin">
        <color rgb="FFE6E6E6"/>
      </left>
      <right/>
      <top/>
      <bottom/>
      <diagonal/>
    </border>
    <border>
      <left/>
      <right style="thin">
        <color rgb="FFE6E6E6"/>
      </right>
      <top/>
      <bottom/>
      <diagonal/>
    </border>
    <border>
      <left style="thin">
        <color rgb="FFE6E6E6"/>
      </left>
      <right/>
      <top/>
      <bottom style="thin">
        <color rgb="FFE6E6E6"/>
      </bottom>
      <diagonal/>
    </border>
    <border>
      <left/>
      <right/>
      <top/>
      <bottom style="thin">
        <color rgb="FFE6E6E6"/>
      </bottom>
      <diagonal/>
    </border>
    <border>
      <left/>
      <right style="thin">
        <color rgb="FFE6E6E6"/>
      </right>
      <top/>
      <bottom style="thin">
        <color rgb="FFE6E6E6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medium">
        <color rgb="FF825142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rgb="FF825142"/>
      </bottom>
      <diagonal/>
    </border>
    <border>
      <left style="hair">
        <color theme="0" tint="-0.14996795556505021"/>
      </left>
      <right/>
      <top style="hair">
        <color theme="0" tint="-0.14996795556505021"/>
      </top>
      <bottom style="medium">
        <color rgb="FF825142"/>
      </bottom>
      <diagonal/>
    </border>
    <border>
      <left/>
      <right/>
      <top/>
      <bottom style="thin">
        <color rgb="FF825142"/>
      </bottom>
      <diagonal/>
    </border>
    <border>
      <left/>
      <right/>
      <top style="thin">
        <color theme="0" tint="-0.1499679555650502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hair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thin">
        <color rgb="FF825142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n">
        <color rgb="FF825142"/>
      </top>
      <bottom/>
      <diagonal/>
    </border>
    <border>
      <left style="hair">
        <color theme="0" tint="-0.14996795556505021"/>
      </left>
      <right/>
      <top style="thin">
        <color rgb="FF825142"/>
      </top>
      <bottom/>
      <diagonal/>
    </border>
    <border>
      <left style="thick">
        <color rgb="FFE6E6E6"/>
      </left>
      <right/>
      <top style="thin">
        <color rgb="FFE6E6E6"/>
      </top>
      <bottom/>
      <diagonal/>
    </border>
    <border>
      <left style="thick">
        <color rgb="FFE6E6E6"/>
      </left>
      <right/>
      <top/>
      <bottom/>
      <diagonal/>
    </border>
    <border>
      <left style="thick">
        <color rgb="FFE6E6E6"/>
      </left>
      <right/>
      <top/>
      <bottom style="thin">
        <color rgb="FFE6E6E6"/>
      </bottom>
      <diagonal/>
    </border>
    <border>
      <left style="hair">
        <color theme="0" tint="-0.14996795556505021"/>
      </left>
      <right style="thin">
        <color rgb="FF825142"/>
      </right>
      <top style="thin">
        <color rgb="FF825142"/>
      </top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rgb="FF825142"/>
      </right>
      <top style="hair">
        <color theme="0" tint="-0.14996795556505021"/>
      </top>
      <bottom style="medium">
        <color rgb="FF825142"/>
      </bottom>
      <diagonal/>
    </border>
    <border>
      <left/>
      <right style="thin">
        <color rgb="FF825142"/>
      </right>
      <top style="thin">
        <color rgb="FF825142"/>
      </top>
      <bottom/>
      <diagonal/>
    </border>
    <border>
      <left style="medium">
        <color theme="0" tint="-0.14996795556505021"/>
      </left>
      <right/>
      <top/>
      <bottom/>
      <diagonal/>
    </border>
    <border>
      <left/>
      <right style="medium">
        <color theme="0" tint="-0.14996795556505021"/>
      </right>
      <top/>
      <bottom/>
      <diagonal/>
    </border>
    <border>
      <left style="thick">
        <color rgb="FFE6E6E6"/>
      </left>
      <right/>
      <top style="thin">
        <color theme="0" tint="-0.1499679555650502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thin">
        <color theme="0" tint="-0.14996795556505021"/>
      </top>
      <bottom style="hair">
        <color theme="0" tint="-0.14996795556505021"/>
      </bottom>
      <diagonal/>
    </border>
    <border>
      <left/>
      <right style="thick">
        <color rgb="FFE6E6E6"/>
      </right>
      <top style="thin">
        <color theme="0" tint="-0.14996795556505021"/>
      </top>
      <bottom style="hair">
        <color theme="0" tint="-0.14996795556505021"/>
      </bottom>
      <diagonal/>
    </border>
    <border>
      <left style="thick">
        <color rgb="FFE6E6E6"/>
      </left>
      <right/>
      <top style="hair">
        <color theme="0" tint="-0.14996795556505021"/>
      </top>
      <bottom style="thin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n">
        <color theme="0" tint="-0.14996795556505021"/>
      </bottom>
      <diagonal/>
    </border>
    <border>
      <left/>
      <right style="thick">
        <color rgb="FFE6E6E6"/>
      </right>
      <top style="hair">
        <color theme="0" tint="-0.14996795556505021"/>
      </top>
      <bottom style="thin">
        <color theme="0" tint="-0.14996795556505021"/>
      </bottom>
      <diagonal/>
    </border>
    <border>
      <left/>
      <right/>
      <top style="hair">
        <color theme="0" tint="-0.1499679555650502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n">
        <color rgb="FF825142"/>
      </bottom>
      <diagonal/>
    </border>
    <border>
      <left style="hair">
        <color theme="0" tint="-0.14996795556505021"/>
      </left>
      <right style="hair">
        <color rgb="FF825142"/>
      </right>
      <top style="thin">
        <color rgb="FF825142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rgb="FF825142"/>
      </right>
      <top style="hair">
        <color theme="0" tint="-0.14996795556505021"/>
      </top>
      <bottom style="medium">
        <color rgb="FF825142"/>
      </bottom>
      <diagonal/>
    </border>
    <border>
      <left style="hair">
        <color rgb="FF825142"/>
      </left>
      <right style="hair">
        <color theme="0" tint="-0.14996795556505021"/>
      </right>
      <top style="thin">
        <color rgb="FF825142"/>
      </top>
      <bottom style="hair">
        <color theme="0" tint="-0.14996795556505021"/>
      </bottom>
      <diagonal/>
    </border>
    <border>
      <left style="hair">
        <color rgb="FF825142"/>
      </left>
      <right style="hair">
        <color theme="0" tint="-0.14996795556505021"/>
      </right>
      <top style="hair">
        <color theme="0" tint="-0.14996795556505021"/>
      </top>
      <bottom style="medium">
        <color rgb="FF825142"/>
      </bottom>
      <diagonal/>
    </border>
    <border>
      <left/>
      <right/>
      <top style="medium">
        <color rgb="FF825142"/>
      </top>
      <bottom/>
      <diagonal/>
    </border>
    <border>
      <left/>
      <right/>
      <top style="medium">
        <color rgb="FF825142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hair">
        <color rgb="FF825142"/>
      </left>
      <right/>
      <top style="medium">
        <color rgb="FF825142"/>
      </top>
      <bottom style="hair">
        <color rgb="FFD9D9D9"/>
      </bottom>
      <diagonal/>
    </border>
    <border>
      <left style="hair">
        <color rgb="FF825142"/>
      </left>
      <right/>
      <top style="hair">
        <color rgb="FFD9D9D9"/>
      </top>
      <bottom/>
      <diagonal/>
    </border>
    <border>
      <left/>
      <right style="thin">
        <color rgb="FF825142"/>
      </right>
      <top style="medium">
        <color rgb="FF825142"/>
      </top>
      <bottom style="hair">
        <color rgb="FFD9D9D9"/>
      </bottom>
      <diagonal/>
    </border>
    <border>
      <left/>
      <right style="thin">
        <color rgb="FF825142"/>
      </right>
      <top style="hair">
        <color rgb="FFD9D9D9"/>
      </top>
      <bottom/>
      <diagonal/>
    </border>
    <border>
      <left style="hair">
        <color rgb="FF825142"/>
      </left>
      <right/>
      <top/>
      <bottom style="thin">
        <color rgb="FF825142"/>
      </bottom>
      <diagonal/>
    </border>
    <border>
      <left/>
      <right style="thin">
        <color rgb="FF825142"/>
      </right>
      <top/>
      <bottom style="thin">
        <color rgb="FF825142"/>
      </bottom>
      <diagonal/>
    </border>
    <border>
      <left style="hair">
        <color rgb="FF825142"/>
      </left>
      <right/>
      <top style="thin">
        <color rgb="FF825142"/>
      </top>
      <bottom/>
      <diagonal/>
    </border>
    <border>
      <left/>
      <right style="double">
        <color rgb="FF825142"/>
      </right>
      <top style="thin">
        <color rgb="FF825142"/>
      </top>
      <bottom/>
      <diagonal/>
    </border>
    <border>
      <left/>
      <right style="hair">
        <color rgb="FFD9D9D9"/>
      </right>
      <top style="medium">
        <color rgb="FF825142"/>
      </top>
      <bottom/>
      <diagonal/>
    </border>
    <border>
      <left style="hair">
        <color rgb="FFD9D9D9"/>
      </left>
      <right style="hair">
        <color rgb="FFD9D9D9"/>
      </right>
      <top style="medium">
        <color rgb="FF825142"/>
      </top>
      <bottom/>
      <diagonal/>
    </border>
    <border>
      <left style="hair">
        <color rgb="FFD9D9D9"/>
      </left>
      <right/>
      <top style="medium">
        <color rgb="FF825142"/>
      </top>
      <bottom/>
      <diagonal/>
    </border>
    <border>
      <left/>
      <right style="hair">
        <color rgb="FFD9D9D9"/>
      </right>
      <top/>
      <bottom style="thin">
        <color rgb="FF825142"/>
      </bottom>
      <diagonal/>
    </border>
    <border>
      <left style="hair">
        <color rgb="FFD9D9D9"/>
      </left>
      <right style="hair">
        <color rgb="FFD9D9D9"/>
      </right>
      <top/>
      <bottom style="thin">
        <color rgb="FF825142"/>
      </bottom>
      <diagonal/>
    </border>
    <border>
      <left style="hair">
        <color rgb="FFD9D9D9"/>
      </left>
      <right/>
      <top/>
      <bottom style="thin">
        <color rgb="FF825142"/>
      </bottom>
      <diagonal/>
    </border>
    <border>
      <left style="hair">
        <color rgb="FF825142"/>
      </left>
      <right style="hair">
        <color rgb="FFD9D9D9"/>
      </right>
      <top style="medium">
        <color rgb="FF825142"/>
      </top>
      <bottom/>
      <diagonal/>
    </border>
    <border>
      <left style="hair">
        <color rgb="FF825142"/>
      </left>
      <right style="hair">
        <color rgb="FFD9D9D9"/>
      </right>
      <top/>
      <bottom style="thin">
        <color rgb="FF825142"/>
      </bottom>
      <diagonal/>
    </border>
    <border>
      <left style="hair">
        <color rgb="FFD9D9D9"/>
      </left>
      <right style="double">
        <color rgb="FF825142"/>
      </right>
      <top style="medium">
        <color rgb="FF825142"/>
      </top>
      <bottom/>
      <diagonal/>
    </border>
    <border>
      <left style="hair">
        <color rgb="FFD9D9D9"/>
      </left>
      <right style="double">
        <color rgb="FF825142"/>
      </right>
      <top/>
      <bottom style="thin">
        <color rgb="FF825142"/>
      </bottom>
      <diagonal/>
    </border>
    <border>
      <left/>
      <right/>
      <top style="hair">
        <color rgb="FFD9D9D9"/>
      </top>
      <bottom style="hair">
        <color rgb="FFD9D9D9"/>
      </bottom>
      <diagonal/>
    </border>
    <border>
      <left style="hair">
        <color rgb="FF825142"/>
      </left>
      <right/>
      <top style="hair">
        <color rgb="FFD9D9D9"/>
      </top>
      <bottom style="hair">
        <color rgb="FFD9D9D9"/>
      </bottom>
      <diagonal/>
    </border>
    <border>
      <left/>
      <right style="thin">
        <color rgb="FF825142"/>
      </right>
      <top style="hair">
        <color rgb="FFD9D9D9"/>
      </top>
      <bottom style="hair">
        <color rgb="FFD9D9D9"/>
      </bottom>
      <diagonal/>
    </border>
  </borders>
  <cellStyleXfs count="1">
    <xf numFmtId="0" fontId="0" fillId="0" borderId="0">
      <alignment vertical="center"/>
    </xf>
  </cellStyleXfs>
  <cellXfs count="308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1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4" fontId="3" fillId="0" borderId="0" xfId="0" applyNumberFormat="1" applyFont="1">
      <alignment vertical="center"/>
    </xf>
    <xf numFmtId="14" fontId="1" fillId="0" borderId="0" xfId="0" applyNumberFormat="1" applyFont="1" applyAlignment="1">
      <alignment horizontal="center" vertical="center"/>
    </xf>
    <xf numFmtId="176" fontId="1" fillId="0" borderId="0" xfId="0" applyNumberFormat="1" applyFont="1">
      <alignment vertical="center"/>
    </xf>
    <xf numFmtId="0" fontId="18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14" fontId="1" fillId="0" borderId="0" xfId="0" applyNumberFormat="1" applyFont="1" applyAlignment="1">
      <alignment horizontal="center" vertical="center" shrinkToFit="1"/>
    </xf>
    <xf numFmtId="0" fontId="1" fillId="0" borderId="0" xfId="0" applyFont="1" applyAlignment="1">
      <alignment vertical="center" shrinkToFit="1"/>
    </xf>
    <xf numFmtId="0" fontId="3" fillId="0" borderId="23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 shrinkToFit="1"/>
    </xf>
    <xf numFmtId="0" fontId="1" fillId="0" borderId="52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3" fillId="0" borderId="24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 wrapText="1"/>
    </xf>
    <xf numFmtId="14" fontId="12" fillId="0" borderId="74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right" vertical="center"/>
    </xf>
    <xf numFmtId="0" fontId="3" fillId="0" borderId="79" xfId="0" applyFont="1" applyBorder="1" applyAlignment="1">
      <alignment horizontal="center" vertical="center"/>
    </xf>
    <xf numFmtId="0" fontId="3" fillId="0" borderId="80" xfId="0" applyFont="1" applyBorder="1" applyAlignment="1">
      <alignment horizontal="center" vertical="center"/>
    </xf>
    <xf numFmtId="178" fontId="10" fillId="0" borderId="0" xfId="0" applyNumberFormat="1" applyFont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76" fontId="3" fillId="0" borderId="0" xfId="0" applyNumberFormat="1" applyFont="1">
      <alignment vertical="center"/>
    </xf>
    <xf numFmtId="0" fontId="18" fillId="0" borderId="0" xfId="0" applyFont="1" applyProtection="1">
      <alignment vertical="center"/>
      <protection locked="0"/>
    </xf>
    <xf numFmtId="0" fontId="1" fillId="0" borderId="0" xfId="0" applyFont="1" applyProtection="1">
      <alignment vertical="center"/>
      <protection locked="0"/>
    </xf>
    <xf numFmtId="0" fontId="6" fillId="2" borderId="3" xfId="0" applyFont="1" applyFill="1" applyBorder="1" applyProtection="1">
      <alignment vertical="center"/>
      <protection locked="0"/>
    </xf>
    <xf numFmtId="0" fontId="1" fillId="2" borderId="4" xfId="0" applyFont="1" applyFill="1" applyBorder="1" applyProtection="1">
      <alignment vertical="center"/>
      <protection locked="0"/>
    </xf>
    <xf numFmtId="0" fontId="1" fillId="2" borderId="5" xfId="0" applyFont="1" applyFill="1" applyBorder="1" applyProtection="1">
      <alignment vertical="center"/>
      <protection locked="0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1" fillId="2" borderId="88" xfId="0" applyFont="1" applyFill="1" applyBorder="1" applyAlignment="1" applyProtection="1">
      <alignment horizontal="left" vertical="center"/>
      <protection locked="0"/>
    </xf>
    <xf numFmtId="0" fontId="19" fillId="2" borderId="89" xfId="0" applyFont="1" applyFill="1" applyBorder="1" applyAlignment="1" applyProtection="1">
      <alignment horizontal="left" vertical="center"/>
      <protection locked="0"/>
    </xf>
    <xf numFmtId="0" fontId="1" fillId="2" borderId="89" xfId="0" applyFont="1" applyFill="1" applyBorder="1" applyAlignment="1" applyProtection="1">
      <alignment horizontal="center" vertical="center"/>
      <protection locked="0"/>
    </xf>
    <xf numFmtId="0" fontId="6" fillId="2" borderId="6" xfId="0" applyFont="1" applyFill="1" applyBorder="1" applyProtection="1">
      <alignment vertical="center"/>
      <protection locked="0"/>
    </xf>
    <xf numFmtId="0" fontId="1" fillId="2" borderId="7" xfId="0" applyFont="1" applyFill="1" applyBorder="1" applyProtection="1">
      <alignment vertical="center"/>
      <protection locked="0"/>
    </xf>
    <xf numFmtId="14" fontId="1" fillId="2" borderId="7" xfId="0" applyNumberFormat="1" applyFont="1" applyFill="1" applyBorder="1" applyProtection="1">
      <alignment vertical="center"/>
      <protection locked="0"/>
    </xf>
    <xf numFmtId="0" fontId="1" fillId="2" borderId="8" xfId="0" applyFont="1" applyFill="1" applyBorder="1" applyProtection="1">
      <alignment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14" fontId="1" fillId="0" borderId="0" xfId="0" applyNumberFormat="1" applyFont="1" applyProtection="1">
      <alignment vertical="center"/>
      <protection locked="0"/>
    </xf>
    <xf numFmtId="0" fontId="1" fillId="0" borderId="0" xfId="0" applyFont="1" applyAlignment="1" applyProtection="1">
      <alignment horizontal="center" vertical="center" shrinkToFit="1"/>
      <protection locked="0"/>
    </xf>
    <xf numFmtId="14" fontId="1" fillId="0" borderId="0" xfId="0" applyNumberFormat="1" applyFont="1" applyAlignment="1" applyProtection="1">
      <alignment horizontal="center" vertical="center"/>
      <protection locked="0"/>
    </xf>
    <xf numFmtId="176" fontId="1" fillId="0" borderId="0" xfId="0" applyNumberFormat="1" applyFont="1" applyAlignment="1" applyProtection="1">
      <alignment vertical="center" shrinkToFi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176" fontId="10" fillId="0" borderId="0" xfId="0" applyNumberFormat="1" applyFont="1" applyAlignment="1" applyProtection="1">
      <alignment vertical="center" shrinkToFit="1"/>
      <protection locked="0"/>
    </xf>
    <xf numFmtId="179" fontId="3" fillId="3" borderId="0" xfId="0" applyNumberFormat="1" applyFont="1" applyFill="1" applyAlignment="1" applyProtection="1">
      <alignment horizontal="center" vertical="center"/>
      <protection hidden="1"/>
    </xf>
    <xf numFmtId="0" fontId="15" fillId="3" borderId="0" xfId="0" applyFont="1" applyFill="1" applyAlignment="1" applyProtection="1">
      <alignment horizontal="center" vertical="center"/>
      <protection hidden="1"/>
    </xf>
    <xf numFmtId="179" fontId="3" fillId="3" borderId="1" xfId="0" applyNumberFormat="1" applyFont="1" applyFill="1" applyBorder="1" applyAlignment="1" applyProtection="1">
      <alignment horizontal="center" vertical="center"/>
      <protection hidden="1"/>
    </xf>
    <xf numFmtId="0" fontId="15" fillId="3" borderId="2" xfId="0" applyFont="1" applyFill="1" applyBorder="1" applyAlignment="1" applyProtection="1">
      <alignment horizontal="center" vertical="center"/>
      <protection hidden="1"/>
    </xf>
    <xf numFmtId="179" fontId="3" fillId="0" borderId="1" xfId="0" applyNumberFormat="1" applyFont="1" applyBorder="1" applyAlignment="1" applyProtection="1">
      <alignment horizontal="center" vertical="center"/>
      <protection hidden="1"/>
    </xf>
    <xf numFmtId="0" fontId="22" fillId="0" borderId="2" xfId="0" applyFont="1" applyBorder="1" applyAlignment="1" applyProtection="1">
      <alignment horizontal="center" vertical="center"/>
      <protection hidden="1"/>
    </xf>
    <xf numFmtId="179" fontId="8" fillId="3" borderId="1" xfId="0" applyNumberFormat="1" applyFont="1" applyFill="1" applyBorder="1" applyAlignment="1" applyProtection="1">
      <alignment horizontal="center" vertical="center"/>
      <protection hidden="1"/>
    </xf>
    <xf numFmtId="179" fontId="9" fillId="3" borderId="0" xfId="0" applyNumberFormat="1" applyFont="1" applyFill="1" applyAlignment="1" applyProtection="1">
      <alignment horizontal="center" vertical="center"/>
      <protection hidden="1"/>
    </xf>
    <xf numFmtId="176" fontId="7" fillId="2" borderId="89" xfId="0" applyNumberFormat="1" applyFont="1" applyFill="1" applyBorder="1" applyAlignment="1" applyProtection="1">
      <alignment horizontal="left" vertical="center"/>
      <protection hidden="1"/>
    </xf>
    <xf numFmtId="0" fontId="1" fillId="2" borderId="89" xfId="0" applyFont="1" applyFill="1" applyBorder="1" applyProtection="1">
      <alignment vertical="center"/>
      <protection locked="0"/>
    </xf>
    <xf numFmtId="0" fontId="1" fillId="0" borderId="23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21" fillId="0" borderId="0" xfId="0" applyFont="1" applyAlignment="1" applyProtection="1">
      <alignment horizontal="right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76" fontId="3" fillId="0" borderId="0" xfId="0" applyNumberFormat="1" applyFont="1" applyAlignment="1" applyProtection="1">
      <alignment vertical="center" shrinkToFit="1"/>
      <protection locked="0"/>
    </xf>
    <xf numFmtId="0" fontId="21" fillId="0" borderId="0" xfId="0" applyFont="1" applyAlignment="1" applyProtection="1">
      <alignment horizontal="right" vertical="center"/>
      <protection locked="0"/>
    </xf>
    <xf numFmtId="0" fontId="21" fillId="0" borderId="0" xfId="0" applyFont="1" applyAlignment="1" applyProtection="1">
      <alignment horizontal="left" vertical="center"/>
      <protection locked="0"/>
    </xf>
    <xf numFmtId="0" fontId="17" fillId="0" borderId="24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177" fontId="1" fillId="0" borderId="10" xfId="0" applyNumberFormat="1" applyFont="1" applyBorder="1" applyAlignment="1" applyProtection="1">
      <alignment horizontal="center" vertical="center" shrinkToFit="1"/>
      <protection locked="0"/>
    </xf>
    <xf numFmtId="177" fontId="3" fillId="0" borderId="10" xfId="0" applyNumberFormat="1" applyFont="1" applyBorder="1" applyAlignment="1" applyProtection="1">
      <alignment horizontal="center" vertical="center" shrinkToFit="1"/>
      <protection locked="0"/>
    </xf>
    <xf numFmtId="0" fontId="3" fillId="0" borderId="10" xfId="0" applyFont="1" applyBorder="1" applyAlignment="1">
      <alignment horizontal="center" vertical="center" shrinkToFit="1"/>
    </xf>
    <xf numFmtId="0" fontId="1" fillId="0" borderId="10" xfId="0" applyFont="1" applyBorder="1" applyAlignment="1">
      <alignment horizontal="center" vertical="center" shrinkToFit="1"/>
    </xf>
    <xf numFmtId="14" fontId="1" fillId="0" borderId="10" xfId="0" applyNumberFormat="1" applyFont="1" applyBorder="1" applyAlignment="1">
      <alignment horizontal="center" vertical="center" shrinkToFit="1"/>
    </xf>
    <xf numFmtId="0" fontId="1" fillId="0" borderId="45" xfId="0" applyFont="1" applyBorder="1" applyAlignment="1">
      <alignment horizontal="center" vertical="center" shrinkToFit="1"/>
    </xf>
    <xf numFmtId="0" fontId="17" fillId="0" borderId="10" xfId="0" applyFont="1" applyBorder="1" applyAlignment="1">
      <alignment horizontal="center" vertical="center" shrinkToFit="1"/>
    </xf>
    <xf numFmtId="0" fontId="1" fillId="0" borderId="49" xfId="0" applyFont="1" applyBorder="1" applyAlignment="1">
      <alignment horizontal="center" vertical="center" shrinkToFit="1"/>
    </xf>
    <xf numFmtId="0" fontId="1" fillId="0" borderId="50" xfId="0" applyFont="1" applyBorder="1" applyAlignment="1">
      <alignment horizontal="center" vertical="center" shrinkToFit="1"/>
    </xf>
    <xf numFmtId="0" fontId="1" fillId="0" borderId="46" xfId="0" applyFont="1" applyBorder="1" applyAlignment="1">
      <alignment horizontal="center" vertical="center" shrinkToFit="1"/>
    </xf>
    <xf numFmtId="0" fontId="1" fillId="0" borderId="54" xfId="0" applyFont="1" applyBorder="1" applyAlignment="1">
      <alignment horizontal="center" vertical="center" shrinkToFit="1"/>
    </xf>
    <xf numFmtId="0" fontId="3" fillId="0" borderId="18" xfId="0" applyFont="1" applyBorder="1" applyAlignment="1">
      <alignment horizontal="center" vertical="center"/>
    </xf>
    <xf numFmtId="0" fontId="3" fillId="0" borderId="10" xfId="0" applyFont="1" applyBorder="1" applyProtection="1">
      <alignment vertical="center"/>
      <protection locked="0"/>
    </xf>
    <xf numFmtId="0" fontId="18" fillId="0" borderId="10" xfId="0" applyFont="1" applyBorder="1" applyProtection="1">
      <alignment vertical="center"/>
      <protection locked="0"/>
    </xf>
    <xf numFmtId="0" fontId="21" fillId="0" borderId="10" xfId="0" applyFont="1" applyBorder="1" applyAlignment="1" applyProtection="1">
      <alignment horizontal="right"/>
      <protection locked="0"/>
    </xf>
    <xf numFmtId="0" fontId="3" fillId="0" borderId="0" xfId="0" applyFont="1" applyProtection="1">
      <alignment vertical="center"/>
      <protection locked="0"/>
    </xf>
    <xf numFmtId="0" fontId="3" fillId="5" borderId="0" xfId="0" applyFont="1" applyFill="1" applyProtection="1">
      <alignment vertical="center"/>
      <protection locked="0"/>
    </xf>
    <xf numFmtId="0" fontId="10" fillId="0" borderId="0" xfId="0" applyFont="1" applyProtection="1">
      <alignment vertical="center"/>
      <protection locked="0"/>
    </xf>
    <xf numFmtId="180" fontId="12" fillId="0" borderId="30" xfId="0" applyNumberFormat="1" applyFont="1" applyBorder="1" applyAlignment="1" applyProtection="1">
      <alignment horizontal="center" vertical="center" shrinkToFit="1"/>
      <protection locked="0"/>
    </xf>
    <xf numFmtId="0" fontId="3" fillId="0" borderId="64" xfId="0" applyFont="1" applyBorder="1" applyProtection="1">
      <alignment vertical="center"/>
      <protection locked="0"/>
    </xf>
    <xf numFmtId="0" fontId="3" fillId="0" borderId="66" xfId="0" applyFont="1" applyBorder="1" applyProtection="1">
      <alignment vertical="center"/>
      <protection locked="0"/>
    </xf>
    <xf numFmtId="0" fontId="3" fillId="0" borderId="67" xfId="0" applyFont="1" applyBorder="1" applyProtection="1">
      <alignment vertical="center"/>
      <protection locked="0"/>
    </xf>
    <xf numFmtId="0" fontId="3" fillId="0" borderId="68" xfId="0" applyFont="1" applyBorder="1" applyProtection="1">
      <alignment vertical="center"/>
      <protection locked="0"/>
    </xf>
    <xf numFmtId="0" fontId="3" fillId="0" borderId="69" xfId="0" applyFont="1" applyBorder="1" applyProtection="1">
      <alignment vertical="center"/>
      <protection locked="0"/>
    </xf>
    <xf numFmtId="0" fontId="3" fillId="0" borderId="70" xfId="0" applyFont="1" applyBorder="1" applyProtection="1">
      <alignment vertical="center"/>
      <protection locked="0"/>
    </xf>
    <xf numFmtId="0" fontId="3" fillId="0" borderId="55" xfId="0" applyFont="1" applyBorder="1" applyAlignment="1" applyProtection="1">
      <alignment horizontal="center" vertical="center"/>
      <protection locked="0"/>
    </xf>
    <xf numFmtId="0" fontId="3" fillId="0" borderId="39" xfId="0" applyFont="1" applyBorder="1" applyAlignment="1" applyProtection="1">
      <alignment horizontal="center" vertical="center" shrinkToFit="1"/>
      <protection locked="0"/>
    </xf>
    <xf numFmtId="0" fontId="3" fillId="0" borderId="26" xfId="0" applyFont="1" applyBorder="1" applyAlignment="1" applyProtection="1">
      <alignment horizontal="center" vertical="center" shrinkToFit="1"/>
      <protection locked="0"/>
    </xf>
    <xf numFmtId="0" fontId="3" fillId="0" borderId="40" xfId="0" applyFont="1" applyBorder="1" applyAlignment="1" applyProtection="1">
      <alignment horizontal="center" vertical="center" shrinkToFit="1"/>
      <protection locked="0"/>
    </xf>
    <xf numFmtId="0" fontId="3" fillId="0" borderId="41" xfId="0" applyFont="1" applyBorder="1" applyAlignment="1" applyProtection="1">
      <alignment horizontal="center" vertical="center" shrinkToFit="1"/>
      <protection locked="0"/>
    </xf>
    <xf numFmtId="0" fontId="3" fillId="0" borderId="14" xfId="0" applyFont="1" applyBorder="1" applyAlignment="1" applyProtection="1">
      <alignment horizontal="center" vertical="center" shrinkToFit="1"/>
      <protection locked="0"/>
    </xf>
    <xf numFmtId="0" fontId="3" fillId="0" borderId="42" xfId="0" applyFont="1" applyBorder="1" applyAlignment="1" applyProtection="1">
      <alignment horizontal="center" vertical="center" shrinkToFit="1"/>
      <protection locked="0"/>
    </xf>
    <xf numFmtId="0" fontId="3" fillId="0" borderId="43" xfId="0" applyFont="1" applyBorder="1" applyAlignment="1" applyProtection="1">
      <alignment horizontal="center" vertical="center" shrinkToFit="1"/>
      <protection locked="0"/>
    </xf>
    <xf numFmtId="0" fontId="3" fillId="0" borderId="21" xfId="0" applyFont="1" applyBorder="1" applyAlignment="1" applyProtection="1">
      <alignment horizontal="center" vertical="center" shrinkToFit="1"/>
      <protection locked="0"/>
    </xf>
    <xf numFmtId="0" fontId="3" fillId="0" borderId="44" xfId="0" applyFont="1" applyBorder="1" applyAlignment="1" applyProtection="1">
      <alignment horizontal="center" vertical="center" shrinkToFit="1"/>
      <protection locked="0"/>
    </xf>
    <xf numFmtId="0" fontId="3" fillId="0" borderId="29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177" fontId="3" fillId="0" borderId="57" xfId="0" applyNumberFormat="1" applyFont="1" applyBorder="1" applyAlignment="1" applyProtection="1">
      <alignment horizontal="center" vertical="center"/>
      <protection hidden="1"/>
    </xf>
    <xf numFmtId="177" fontId="3" fillId="0" borderId="59" xfId="0" applyNumberFormat="1" applyFont="1" applyBorder="1" applyAlignment="1" applyProtection="1">
      <alignment horizontal="center" vertical="center"/>
      <protection hidden="1"/>
    </xf>
    <xf numFmtId="177" fontId="3" fillId="0" borderId="61" xfId="0" applyNumberFormat="1" applyFont="1" applyBorder="1" applyAlignment="1" applyProtection="1">
      <alignment horizontal="center" vertical="center"/>
      <protection hidden="1"/>
    </xf>
    <xf numFmtId="0" fontId="10" fillId="0" borderId="58" xfId="0" applyFont="1" applyBorder="1" applyAlignment="1" applyProtection="1">
      <alignment horizontal="center" vertical="center" shrinkToFit="1"/>
      <protection hidden="1"/>
    </xf>
    <xf numFmtId="0" fontId="10" fillId="0" borderId="60" xfId="0" applyFont="1" applyBorder="1" applyAlignment="1" applyProtection="1">
      <alignment horizontal="center" vertical="center" shrinkToFit="1"/>
      <protection hidden="1"/>
    </xf>
    <xf numFmtId="0" fontId="10" fillId="0" borderId="62" xfId="0" applyFont="1" applyBorder="1" applyAlignment="1" applyProtection="1">
      <alignment horizontal="center" vertical="center" shrinkToFit="1"/>
      <protection hidden="1"/>
    </xf>
    <xf numFmtId="0" fontId="1" fillId="2" borderId="47" xfId="0" applyFont="1" applyFill="1" applyBorder="1" applyAlignment="1" applyProtection="1">
      <alignment horizontal="center" vertical="center"/>
      <protection locked="0"/>
    </xf>
    <xf numFmtId="0" fontId="14" fillId="2" borderId="51" xfId="0" applyFont="1" applyFill="1" applyBorder="1" applyAlignment="1" applyProtection="1">
      <alignment horizontal="center" vertical="center"/>
      <protection locked="0"/>
    </xf>
    <xf numFmtId="0" fontId="14" fillId="2" borderId="52" xfId="0" applyFont="1" applyFill="1" applyBorder="1" applyAlignment="1" applyProtection="1">
      <alignment horizontal="center" vertical="center"/>
      <protection locked="0"/>
    </xf>
    <xf numFmtId="0" fontId="1" fillId="2" borderId="53" xfId="0" applyFont="1" applyFill="1" applyBorder="1" applyAlignment="1">
      <alignment horizontal="center" vertical="center"/>
    </xf>
    <xf numFmtId="0" fontId="10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7" fillId="0" borderId="85" xfId="0" applyFont="1" applyBorder="1" applyAlignment="1">
      <alignment horizontal="center" vertical="center"/>
    </xf>
    <xf numFmtId="14" fontId="1" fillId="0" borderId="0" xfId="0" applyNumberFormat="1" applyFont="1">
      <alignment vertical="center"/>
    </xf>
    <xf numFmtId="0" fontId="32" fillId="0" borderId="63" xfId="0" applyFont="1" applyBorder="1" applyAlignment="1" applyProtection="1">
      <alignment horizontal="left" vertical="center" indent="1"/>
      <protection locked="0"/>
    </xf>
    <xf numFmtId="0" fontId="21" fillId="0" borderId="0" xfId="0" applyFont="1" applyProtection="1">
      <alignment vertical="center"/>
      <protection locked="0"/>
    </xf>
    <xf numFmtId="0" fontId="10" fillId="0" borderId="83" xfId="0" applyFont="1" applyBorder="1" applyAlignment="1" applyProtection="1">
      <alignment horizontal="left" vertical="center" indent="1"/>
      <protection locked="0"/>
    </xf>
    <xf numFmtId="0" fontId="10" fillId="0" borderId="66" xfId="0" applyFont="1" applyBorder="1" applyAlignment="1" applyProtection="1">
      <alignment horizontal="left" vertical="center" indent="1"/>
      <protection locked="0"/>
    </xf>
    <xf numFmtId="0" fontId="3" fillId="6" borderId="0" xfId="0" applyFont="1" applyFill="1" applyAlignment="1">
      <alignment horizontal="center" vertical="center"/>
    </xf>
    <xf numFmtId="9" fontId="3" fillId="6" borderId="0" xfId="0" applyNumberFormat="1" applyFont="1" applyFill="1" applyAlignment="1">
      <alignment horizontal="center" vertical="center"/>
    </xf>
    <xf numFmtId="0" fontId="34" fillId="0" borderId="64" xfId="0" applyFont="1" applyBorder="1" applyProtection="1">
      <alignment vertical="center"/>
      <protection locked="0"/>
    </xf>
    <xf numFmtId="14" fontId="38" fillId="0" borderId="0" xfId="0" applyNumberFormat="1" applyFont="1" applyAlignment="1" applyProtection="1">
      <alignment horizontal="center" vertical="center"/>
      <protection locked="0"/>
    </xf>
    <xf numFmtId="0" fontId="13" fillId="2" borderId="52" xfId="0" applyFont="1" applyFill="1" applyBorder="1" applyAlignment="1">
      <alignment horizontal="center" vertical="center"/>
    </xf>
    <xf numFmtId="177" fontId="1" fillId="0" borderId="45" xfId="0" applyNumberFormat="1" applyFont="1" applyBorder="1" applyAlignment="1" applyProtection="1">
      <alignment horizontal="center" vertical="center" shrinkToFit="1"/>
      <protection locked="0"/>
    </xf>
    <xf numFmtId="177" fontId="1" fillId="0" borderId="50" xfId="0" applyNumberFormat="1" applyFont="1" applyBorder="1" applyAlignment="1" applyProtection="1">
      <alignment horizontal="center" vertical="center" shrinkToFit="1"/>
      <protection locked="0"/>
    </xf>
    <xf numFmtId="0" fontId="1" fillId="2" borderId="52" xfId="0" applyFont="1" applyFill="1" applyBorder="1" applyAlignment="1" applyProtection="1">
      <alignment horizontal="center" vertical="center"/>
      <protection locked="0"/>
    </xf>
    <xf numFmtId="176" fontId="10" fillId="2" borderId="47" xfId="0" applyNumberFormat="1" applyFont="1" applyFill="1" applyBorder="1" applyAlignment="1" applyProtection="1">
      <alignment vertical="center" shrinkToFit="1"/>
      <protection locked="0"/>
    </xf>
    <xf numFmtId="14" fontId="38" fillId="0" borderId="48" xfId="0" applyNumberFormat="1" applyFont="1" applyBorder="1" applyAlignment="1" applyProtection="1">
      <alignment horizontal="center" vertical="center"/>
      <protection locked="0"/>
    </xf>
    <xf numFmtId="0" fontId="12" fillId="0" borderId="71" xfId="0" applyFont="1" applyBorder="1" applyAlignment="1">
      <alignment horizontal="center" vertical="center"/>
    </xf>
    <xf numFmtId="14" fontId="38" fillId="0" borderId="48" xfId="0" applyNumberFormat="1" applyFont="1" applyBorder="1" applyAlignment="1">
      <alignment horizontal="center" vertical="center"/>
    </xf>
    <xf numFmtId="0" fontId="12" fillId="2" borderId="53" xfId="0" applyFont="1" applyFill="1" applyBorder="1" applyAlignment="1">
      <alignment horizontal="center" vertical="center"/>
    </xf>
    <xf numFmtId="0" fontId="12" fillId="0" borderId="72" xfId="0" applyFont="1" applyBorder="1" applyAlignment="1">
      <alignment horizontal="center" vertical="center"/>
    </xf>
    <xf numFmtId="0" fontId="12" fillId="0" borderId="73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right" vertical="center"/>
      <protection locked="0"/>
    </xf>
    <xf numFmtId="14" fontId="3" fillId="0" borderId="12" xfId="0" applyNumberFormat="1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96" xfId="0" applyFont="1" applyBorder="1">
      <alignment vertical="center"/>
    </xf>
    <xf numFmtId="14" fontId="3" fillId="0" borderId="21" xfId="0" applyNumberFormat="1" applyFont="1" applyBorder="1" applyAlignment="1">
      <alignment horizontal="center" vertical="center"/>
    </xf>
    <xf numFmtId="0" fontId="39" fillId="0" borderId="0" xfId="0" applyFont="1" applyAlignment="1" applyProtection="1">
      <alignment horizontal="right" vertical="center" indent="1"/>
      <protection locked="0"/>
    </xf>
    <xf numFmtId="0" fontId="17" fillId="0" borderId="23" xfId="0" applyFont="1" applyBorder="1" applyAlignment="1">
      <alignment horizontal="center" vertical="center"/>
    </xf>
    <xf numFmtId="0" fontId="26" fillId="0" borderId="98" xfId="0" applyFont="1" applyBorder="1" applyAlignment="1">
      <alignment horizontal="center" vertical="center"/>
    </xf>
    <xf numFmtId="0" fontId="17" fillId="0" borderId="100" xfId="0" applyFont="1" applyBorder="1" applyAlignment="1">
      <alignment horizontal="center" vertical="center"/>
    </xf>
    <xf numFmtId="0" fontId="40" fillId="0" borderId="73" xfId="0" applyFont="1" applyBorder="1" applyAlignment="1" applyProtection="1">
      <alignment horizontal="center" vertical="center" shrinkToFit="1"/>
      <protection locked="0"/>
    </xf>
    <xf numFmtId="0" fontId="12" fillId="0" borderId="71" xfId="0" applyFont="1" applyBorder="1" applyAlignment="1" applyProtection="1">
      <alignment horizontal="center" vertical="center" shrinkToFit="1"/>
      <protection locked="0"/>
    </xf>
    <xf numFmtId="0" fontId="16" fillId="0" borderId="101" xfId="0" applyFont="1" applyBorder="1" applyAlignment="1" applyProtection="1">
      <alignment horizontal="center" vertical="center" shrinkToFit="1"/>
      <protection locked="0"/>
    </xf>
    <xf numFmtId="0" fontId="22" fillId="0" borderId="72" xfId="0" applyFont="1" applyBorder="1" applyAlignment="1" applyProtection="1">
      <alignment horizontal="center" vertical="center" shrinkToFit="1"/>
      <protection locked="0"/>
    </xf>
    <xf numFmtId="0" fontId="23" fillId="0" borderId="99" xfId="0" applyFont="1" applyBorder="1" applyAlignment="1" applyProtection="1">
      <alignment horizontal="center" vertical="center" shrinkToFit="1"/>
      <protection locked="0"/>
    </xf>
    <xf numFmtId="0" fontId="22" fillId="0" borderId="71" xfId="0" applyFont="1" applyBorder="1" applyAlignment="1" applyProtection="1">
      <alignment horizontal="center" vertical="center" shrinkToFit="1"/>
      <protection locked="0"/>
    </xf>
    <xf numFmtId="0" fontId="25" fillId="0" borderId="72" xfId="0" applyFont="1" applyBorder="1" applyAlignment="1" applyProtection="1">
      <alignment horizontal="center" vertical="center" shrinkToFit="1"/>
      <protection locked="0"/>
    </xf>
    <xf numFmtId="0" fontId="30" fillId="0" borderId="86" xfId="0" applyFont="1" applyBorder="1" applyAlignment="1" applyProtection="1">
      <alignment horizontal="center" vertical="center" shrinkToFit="1"/>
      <protection locked="0"/>
    </xf>
    <xf numFmtId="0" fontId="10" fillId="0" borderId="0" xfId="0" applyFont="1" applyAlignment="1" applyProtection="1">
      <alignment horizontal="center" vertical="center" shrinkToFit="1"/>
      <protection locked="0"/>
    </xf>
    <xf numFmtId="0" fontId="13" fillId="0" borderId="0" xfId="0" applyFont="1" applyAlignment="1" applyProtection="1">
      <alignment horizontal="center" vertical="center" shrinkToFit="1"/>
      <protection locked="0"/>
    </xf>
    <xf numFmtId="0" fontId="3" fillId="0" borderId="0" xfId="0" applyFont="1" applyAlignment="1" applyProtection="1">
      <alignment horizontal="center" vertical="center" shrinkToFit="1"/>
      <protection locked="0"/>
    </xf>
    <xf numFmtId="0" fontId="14" fillId="0" borderId="0" xfId="0" applyFont="1" applyAlignment="1" applyProtection="1">
      <alignment horizontal="center" vertical="center" shrinkToFit="1"/>
      <protection locked="0"/>
    </xf>
    <xf numFmtId="0" fontId="3" fillId="0" borderId="19" xfId="0" applyFont="1" applyBorder="1">
      <alignment vertical="center"/>
    </xf>
    <xf numFmtId="177" fontId="3" fillId="0" borderId="11" xfId="0" applyNumberFormat="1" applyFont="1" applyBorder="1" applyAlignment="1">
      <alignment horizontal="center" vertical="center"/>
    </xf>
    <xf numFmtId="177" fontId="3" fillId="0" borderId="13" xfId="0" applyNumberFormat="1" applyFont="1" applyBorder="1" applyAlignment="1">
      <alignment horizontal="center" vertical="center"/>
    </xf>
    <xf numFmtId="177" fontId="3" fillId="0" borderId="20" xfId="0" applyNumberFormat="1" applyFont="1" applyBorder="1" applyAlignment="1">
      <alignment horizontal="center" vertical="center"/>
    </xf>
    <xf numFmtId="180" fontId="3" fillId="0" borderId="0" xfId="0" applyNumberFormat="1" applyFont="1">
      <alignment vertical="center"/>
    </xf>
    <xf numFmtId="0" fontId="41" fillId="2" borderId="1" xfId="0" applyFont="1" applyFill="1" applyBorder="1" applyAlignment="1" applyProtection="1">
      <alignment horizontal="center" vertical="center"/>
      <protection locked="0"/>
    </xf>
    <xf numFmtId="0" fontId="42" fillId="2" borderId="88" xfId="0" applyFont="1" applyFill="1" applyBorder="1" applyProtection="1">
      <alignment vertical="center"/>
      <protection locked="0"/>
    </xf>
    <xf numFmtId="0" fontId="41" fillId="2" borderId="0" xfId="0" applyFont="1" applyFill="1" applyProtection="1">
      <alignment vertical="center"/>
      <protection locked="0"/>
    </xf>
    <xf numFmtId="0" fontId="41" fillId="2" borderId="88" xfId="0" applyFont="1" applyFill="1" applyBorder="1" applyAlignment="1" applyProtection="1">
      <alignment horizontal="left" vertical="center"/>
      <protection locked="0"/>
    </xf>
    <xf numFmtId="0" fontId="41" fillId="2" borderId="0" xfId="0" applyFont="1" applyFill="1" applyAlignment="1" applyProtection="1">
      <alignment vertical="center" wrapText="1"/>
      <protection locked="0"/>
    </xf>
    <xf numFmtId="0" fontId="41" fillId="2" borderId="2" xfId="0" applyFont="1" applyFill="1" applyBorder="1" applyAlignment="1" applyProtection="1">
      <alignment horizontal="left" vertical="center"/>
      <protection locked="0"/>
    </xf>
    <xf numFmtId="0" fontId="1" fillId="0" borderId="48" xfId="0" applyFont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0" borderId="104" xfId="0" applyFont="1" applyBorder="1" applyAlignment="1" applyProtection="1">
      <alignment horizontal="center" vertical="center"/>
      <protection locked="0"/>
    </xf>
    <xf numFmtId="0" fontId="3" fillId="0" borderId="106" xfId="0" applyFont="1" applyBorder="1" applyAlignment="1" applyProtection="1">
      <alignment horizontal="center" vertical="center"/>
      <protection locked="0"/>
    </xf>
    <xf numFmtId="0" fontId="3" fillId="0" borderId="108" xfId="0" applyFont="1" applyBorder="1" applyAlignment="1" applyProtection="1">
      <alignment horizontal="center" vertical="center"/>
      <protection locked="0"/>
    </xf>
    <xf numFmtId="0" fontId="10" fillId="7" borderId="74" xfId="0" applyFont="1" applyFill="1" applyBorder="1" applyAlignment="1" applyProtection="1">
      <alignment horizontal="center" vertical="center"/>
      <protection locked="0"/>
    </xf>
    <xf numFmtId="0" fontId="10" fillId="7" borderId="109" xfId="0" applyFont="1" applyFill="1" applyBorder="1" applyAlignment="1" applyProtection="1">
      <alignment horizontal="center" vertical="center"/>
      <protection locked="0"/>
    </xf>
    <xf numFmtId="0" fontId="10" fillId="7" borderId="110" xfId="0" applyFont="1" applyFill="1" applyBorder="1" applyAlignment="1" applyProtection="1">
      <alignment horizontal="center" vertical="center"/>
      <protection locked="0"/>
    </xf>
    <xf numFmtId="0" fontId="3" fillId="0" borderId="103" xfId="0" applyFont="1" applyBorder="1" applyAlignment="1" applyProtection="1">
      <alignment horizontal="center" vertical="center"/>
      <protection locked="0"/>
    </xf>
    <xf numFmtId="0" fontId="3" fillId="0" borderId="105" xfId="0" applyFont="1" applyBorder="1" applyAlignment="1" applyProtection="1">
      <alignment horizontal="center" vertical="center"/>
      <protection locked="0"/>
    </xf>
    <xf numFmtId="0" fontId="3" fillId="0" borderId="107" xfId="0" applyFont="1" applyBorder="1" applyAlignment="1" applyProtection="1">
      <alignment horizontal="center" vertical="center"/>
      <protection locked="0"/>
    </xf>
    <xf numFmtId="176" fontId="10" fillId="7" borderId="74" xfId="0" applyNumberFormat="1" applyFont="1" applyFill="1" applyBorder="1" applyAlignment="1" applyProtection="1">
      <alignment vertical="center" shrinkToFit="1"/>
      <protection locked="0"/>
    </xf>
    <xf numFmtId="0" fontId="1" fillId="0" borderId="15" xfId="0" applyFont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12" xfId="0" applyFont="1" applyBorder="1" applyAlignment="1">
      <alignment horizontal="center" vertical="center"/>
    </xf>
    <xf numFmtId="0" fontId="10" fillId="7" borderId="116" xfId="0" applyFont="1" applyFill="1" applyBorder="1" applyAlignment="1" applyProtection="1">
      <alignment horizontal="center" vertical="center" shrinkToFit="1"/>
      <protection locked="0"/>
    </xf>
    <xf numFmtId="0" fontId="10" fillId="7" borderId="117" xfId="0" applyFont="1" applyFill="1" applyBorder="1" applyAlignment="1" applyProtection="1">
      <alignment horizontal="center" vertical="center" shrinkToFit="1"/>
      <protection locked="0"/>
    </xf>
    <xf numFmtId="0" fontId="14" fillId="7" borderId="117" xfId="0" applyFont="1" applyFill="1" applyBorder="1" applyAlignment="1" applyProtection="1">
      <alignment horizontal="center" vertical="center" shrinkToFit="1"/>
      <protection locked="0"/>
    </xf>
    <xf numFmtId="0" fontId="10" fillId="7" borderId="118" xfId="0" applyFont="1" applyFill="1" applyBorder="1" applyAlignment="1" applyProtection="1">
      <alignment horizontal="center" vertical="center" shrinkToFit="1"/>
      <protection locked="0"/>
    </xf>
    <xf numFmtId="0" fontId="10" fillId="7" borderId="120" xfId="0" applyFont="1" applyFill="1" applyBorder="1" applyAlignment="1" applyProtection="1">
      <alignment horizontal="center" vertical="center" shrinkToFit="1"/>
      <protection locked="0"/>
    </xf>
    <xf numFmtId="0" fontId="13" fillId="7" borderId="118" xfId="0" applyFont="1" applyFill="1" applyBorder="1" applyAlignment="1" applyProtection="1">
      <alignment horizontal="center" vertical="center" shrinkToFit="1"/>
      <protection locked="0"/>
    </xf>
    <xf numFmtId="0" fontId="10" fillId="7" borderId="122" xfId="0" applyFont="1" applyFill="1" applyBorder="1" applyAlignment="1" applyProtection="1">
      <alignment horizontal="center" vertical="center" shrinkToFit="1"/>
      <protection locked="0"/>
    </xf>
    <xf numFmtId="176" fontId="1" fillId="0" borderId="0" xfId="0" applyNumberFormat="1" applyFont="1" applyAlignment="1">
      <alignment vertical="center" shrinkToFit="1"/>
    </xf>
    <xf numFmtId="0" fontId="1" fillId="8" borderId="0" xfId="0" applyFont="1" applyFill="1" applyAlignment="1">
      <alignment horizontal="center" vertical="center" shrinkToFit="1"/>
    </xf>
    <xf numFmtId="0" fontId="1" fillId="8" borderId="52" xfId="0" applyFont="1" applyFill="1" applyBorder="1" applyAlignment="1">
      <alignment horizontal="center" vertical="center" shrinkToFit="1"/>
    </xf>
    <xf numFmtId="0" fontId="1" fillId="8" borderId="0" xfId="0" applyFont="1" applyFill="1" applyAlignment="1">
      <alignment vertical="center" shrinkToFit="1"/>
    </xf>
    <xf numFmtId="0" fontId="1" fillId="0" borderId="113" xfId="0" applyFont="1" applyBorder="1" applyAlignment="1" applyProtection="1">
      <alignment horizontal="center" vertical="center" shrinkToFit="1"/>
      <protection locked="0"/>
    </xf>
    <xf numFmtId="0" fontId="1" fillId="0" borderId="114" xfId="0" applyFont="1" applyBorder="1" applyAlignment="1" applyProtection="1">
      <alignment horizontal="center" vertical="center" shrinkToFit="1"/>
      <protection locked="0"/>
    </xf>
    <xf numFmtId="0" fontId="1" fillId="0" borderId="115" xfId="0" applyFont="1" applyBorder="1" applyAlignment="1" applyProtection="1">
      <alignment horizontal="center" vertical="center" shrinkToFit="1"/>
      <protection locked="0"/>
    </xf>
    <xf numFmtId="0" fontId="10" fillId="0" borderId="119" xfId="0" applyFont="1" applyBorder="1" applyAlignment="1" applyProtection="1">
      <alignment horizontal="center" vertical="center" shrinkToFit="1"/>
      <protection locked="0"/>
    </xf>
    <xf numFmtId="0" fontId="13" fillId="0" borderId="115" xfId="0" applyFont="1" applyBorder="1" applyAlignment="1" applyProtection="1">
      <alignment horizontal="center" vertical="center" shrinkToFit="1"/>
      <protection locked="0"/>
    </xf>
    <xf numFmtId="0" fontId="3" fillId="0" borderId="119" xfId="0" applyFont="1" applyBorder="1" applyAlignment="1" applyProtection="1">
      <alignment horizontal="center" vertical="center" shrinkToFit="1"/>
      <protection locked="0"/>
    </xf>
    <xf numFmtId="0" fontId="14" fillId="0" borderId="114" xfId="0" applyFont="1" applyBorder="1" applyAlignment="1" applyProtection="1">
      <alignment horizontal="center" vertical="center" shrinkToFit="1"/>
      <protection locked="0"/>
    </xf>
    <xf numFmtId="0" fontId="10" fillId="0" borderId="121" xfId="0" applyFont="1" applyBorder="1" applyAlignment="1" applyProtection="1">
      <alignment horizontal="center" vertical="center" shrinkToFit="1"/>
      <protection locked="0"/>
    </xf>
    <xf numFmtId="176" fontId="3" fillId="0" borderId="102" xfId="0" applyNumberFormat="1" applyFont="1" applyBorder="1" applyAlignment="1" applyProtection="1">
      <alignment vertical="center" shrinkToFit="1"/>
      <protection locked="0"/>
    </xf>
    <xf numFmtId="0" fontId="1" fillId="0" borderId="0" xfId="0" applyFont="1" applyAlignment="1">
      <alignment horizontal="left" vertical="center" shrinkToFit="1"/>
    </xf>
    <xf numFmtId="182" fontId="1" fillId="0" borderId="0" xfId="0" applyNumberFormat="1" applyFont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3" fillId="0" borderId="0" xfId="0" applyFont="1" applyAlignment="1">
      <alignment horizontal="left" vertical="center" shrinkToFit="1"/>
    </xf>
    <xf numFmtId="0" fontId="3" fillId="0" borderId="123" xfId="0" applyFont="1" applyBorder="1" applyAlignment="1" applyProtection="1">
      <alignment horizontal="center" vertical="center"/>
      <protection locked="0"/>
    </xf>
    <xf numFmtId="0" fontId="3" fillId="0" borderId="124" xfId="0" applyFont="1" applyBorder="1" applyAlignment="1" applyProtection="1">
      <alignment horizontal="center" vertical="center"/>
      <protection locked="0"/>
    </xf>
    <xf numFmtId="0" fontId="3" fillId="0" borderId="125" xfId="0" applyFont="1" applyBorder="1" applyAlignment="1" applyProtection="1">
      <alignment horizontal="center" vertical="center"/>
      <protection locked="0"/>
    </xf>
    <xf numFmtId="177" fontId="16" fillId="0" borderId="9" xfId="0" applyNumberFormat="1" applyFont="1" applyBorder="1" applyAlignment="1">
      <alignment horizontal="center" vertical="center"/>
    </xf>
    <xf numFmtId="177" fontId="16" fillId="0" borderId="9" xfId="0" applyNumberFormat="1" applyFont="1" applyBorder="1">
      <alignment vertical="center"/>
    </xf>
    <xf numFmtId="0" fontId="12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7" xfId="0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176" fontId="16" fillId="0" borderId="71" xfId="0" applyNumberFormat="1" applyFont="1" applyBorder="1" applyAlignment="1" applyProtection="1">
      <alignment horizontal="center" vertical="center" shrinkToFit="1"/>
      <protection locked="0"/>
    </xf>
    <xf numFmtId="176" fontId="16" fillId="0" borderId="73" xfId="0" applyNumberFormat="1" applyFont="1" applyBorder="1" applyAlignment="1" applyProtection="1">
      <alignment horizontal="center" vertical="center" shrinkToFit="1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 vertical="center"/>
      <protection locked="0"/>
    </xf>
    <xf numFmtId="0" fontId="35" fillId="0" borderId="83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6" fillId="0" borderId="84" xfId="0" applyFont="1" applyBorder="1" applyAlignment="1" applyProtection="1">
      <alignment horizontal="center" vertical="center"/>
      <protection locked="0"/>
    </xf>
    <xf numFmtId="0" fontId="36" fillId="0" borderId="69" xfId="0" applyFont="1" applyBorder="1" applyAlignment="1" applyProtection="1">
      <alignment horizontal="center" vertical="center"/>
      <protection locked="0"/>
    </xf>
    <xf numFmtId="0" fontId="3" fillId="0" borderId="82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3" fillId="0" borderId="83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81" fontId="37" fillId="0" borderId="64" xfId="0" applyNumberFormat="1" applyFont="1" applyBorder="1" applyAlignment="1" applyProtection="1">
      <alignment horizontal="center" vertical="center" shrinkToFit="1"/>
      <protection locked="0"/>
    </xf>
    <xf numFmtId="181" fontId="37" fillId="0" borderId="65" xfId="0" applyNumberFormat="1" applyFont="1" applyBorder="1" applyAlignment="1" applyProtection="1">
      <alignment horizontal="center" vertical="center" shrinkToFit="1"/>
      <protection locked="0"/>
    </xf>
    <xf numFmtId="181" fontId="37" fillId="0" borderId="0" xfId="0" applyNumberFormat="1" applyFont="1" applyAlignment="1" applyProtection="1">
      <alignment horizontal="center" vertical="center" shrinkToFit="1"/>
      <protection locked="0"/>
    </xf>
    <xf numFmtId="181" fontId="37" fillId="0" borderId="67" xfId="0" applyNumberFormat="1" applyFont="1" applyBorder="1" applyAlignment="1" applyProtection="1">
      <alignment horizontal="center" vertical="center" shrinkToFit="1"/>
      <protection locked="0"/>
    </xf>
    <xf numFmtId="0" fontId="3" fillId="0" borderId="35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3" fillId="0" borderId="36" xfId="0" applyFont="1" applyBorder="1" applyAlignment="1" applyProtection="1">
      <alignment horizontal="center" vertical="center" shrinkToFit="1"/>
      <protection locked="0"/>
    </xf>
    <xf numFmtId="0" fontId="0" fillId="0" borderId="76" xfId="0" applyBorder="1" applyAlignment="1" applyProtection="1">
      <alignment horizontal="center" vertical="center" shrinkToFit="1"/>
      <protection locked="0"/>
    </xf>
    <xf numFmtId="0" fontId="0" fillId="0" borderId="95" xfId="0" applyBorder="1" applyAlignment="1" applyProtection="1">
      <alignment horizontal="center" vertical="center" shrinkToFit="1"/>
      <protection locked="0"/>
    </xf>
    <xf numFmtId="0" fontId="17" fillId="0" borderId="27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2" fillId="0" borderId="76" xfId="0" applyFont="1" applyBorder="1" applyAlignment="1" applyProtection="1">
      <alignment horizontal="center" vertical="center"/>
      <protection locked="0"/>
    </xf>
    <xf numFmtId="0" fontId="12" fillId="0" borderId="77" xfId="0" applyFont="1" applyBorder="1" applyAlignment="1" applyProtection="1">
      <alignment horizontal="center" vertical="center"/>
      <protection locked="0"/>
    </xf>
    <xf numFmtId="0" fontId="31" fillId="0" borderId="28" xfId="0" applyFont="1" applyBorder="1" applyAlignment="1" applyProtection="1">
      <alignment horizontal="center" vertical="center"/>
      <protection locked="0"/>
    </xf>
    <xf numFmtId="0" fontId="31" fillId="0" borderId="34" xfId="0" applyFont="1" applyBorder="1" applyAlignment="1" applyProtection="1">
      <alignment horizontal="center" vertical="center"/>
      <protection locked="0"/>
    </xf>
    <xf numFmtId="0" fontId="11" fillId="0" borderId="75" xfId="0" applyFont="1" applyBorder="1" applyAlignment="1">
      <alignment horizontal="center" vertical="center"/>
    </xf>
    <xf numFmtId="0" fontId="11" fillId="0" borderId="78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90" xfId="0" applyFont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10" fillId="0" borderId="93" xfId="0" applyFont="1" applyBorder="1" applyAlignment="1" applyProtection="1">
      <alignment horizontal="center" vertical="center" shrinkToFit="1"/>
      <protection locked="0"/>
    </xf>
    <xf numFmtId="0" fontId="3" fillId="0" borderId="94" xfId="0" applyFont="1" applyBorder="1" applyAlignment="1" applyProtection="1">
      <alignment horizontal="center" vertical="center" shrinkToFit="1"/>
      <protection locked="0"/>
    </xf>
    <xf numFmtId="0" fontId="0" fillId="0" borderId="94" xfId="0" applyBorder="1" applyAlignment="1" applyProtection="1">
      <alignment horizontal="center" vertical="center" shrinkToFit="1"/>
      <protection locked="0"/>
    </xf>
    <xf numFmtId="0" fontId="9" fillId="0" borderId="27" xfId="0" applyFont="1" applyBorder="1" applyAlignment="1">
      <alignment horizontal="center" vertical="center"/>
    </xf>
    <xf numFmtId="0" fontId="29" fillId="0" borderId="28" xfId="0" applyFont="1" applyBorder="1" applyAlignment="1" applyProtection="1">
      <alignment horizontal="center" vertical="center"/>
      <protection locked="0"/>
    </xf>
    <xf numFmtId="0" fontId="12" fillId="0" borderId="33" xfId="0" applyFont="1" applyBorder="1" applyAlignment="1" applyProtection="1">
      <alignment horizontal="center" vertical="center"/>
      <protection locked="0"/>
    </xf>
    <xf numFmtId="0" fontId="12" fillId="0" borderId="28" xfId="0" applyFont="1" applyBorder="1" applyAlignment="1" applyProtection="1">
      <alignment horizontal="center" vertical="center"/>
      <protection locked="0"/>
    </xf>
    <xf numFmtId="0" fontId="8" fillId="0" borderId="27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27" fillId="0" borderId="28" xfId="0" applyFont="1" applyBorder="1" applyAlignment="1" applyProtection="1">
      <alignment horizontal="center" vertical="center"/>
      <protection locked="0"/>
    </xf>
    <xf numFmtId="0" fontId="27" fillId="0" borderId="36" xfId="0" applyFont="1" applyBorder="1" applyAlignment="1" applyProtection="1">
      <alignment horizontal="center" vertical="center"/>
      <protection locked="0"/>
    </xf>
    <xf numFmtId="0" fontId="28" fillId="0" borderId="33" xfId="0" applyFont="1" applyBorder="1" applyAlignment="1" applyProtection="1">
      <alignment horizontal="center" vertical="center"/>
      <protection locked="0"/>
    </xf>
    <xf numFmtId="0" fontId="28" fillId="0" borderId="28" xfId="0" applyFont="1" applyBorder="1" applyAlignment="1" applyProtection="1">
      <alignment horizontal="center" vertical="center"/>
      <protection locked="0"/>
    </xf>
    <xf numFmtId="0" fontId="4" fillId="0" borderId="28" xfId="0" applyFont="1" applyBorder="1" applyAlignment="1" applyProtection="1">
      <alignment horizontal="center" vertical="center"/>
      <protection locked="0"/>
    </xf>
    <xf numFmtId="0" fontId="17" fillId="0" borderId="31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2" fillId="0" borderId="72" xfId="0" applyFont="1" applyBorder="1" applyAlignment="1">
      <alignment horizontal="center" vertical="center"/>
    </xf>
    <xf numFmtId="0" fontId="12" fillId="0" borderId="73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23" xfId="0" applyFont="1" applyBorder="1" applyAlignment="1">
      <alignment horizontal="center" vertical="center"/>
    </xf>
    <xf numFmtId="0" fontId="12" fillId="0" borderId="71" xfId="0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quotePrefix="1" applyFont="1" applyAlignment="1">
      <alignment horizontal="center" vertical="center"/>
    </xf>
    <xf numFmtId="178" fontId="22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3" fillId="0" borderId="80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2" xfId="0" applyFont="1" applyBorder="1">
      <alignment vertical="center"/>
    </xf>
    <xf numFmtId="0" fontId="3" fillId="0" borderId="17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19" xfId="0" applyFont="1" applyBorder="1">
      <alignment vertical="center"/>
    </xf>
    <xf numFmtId="0" fontId="3" fillId="0" borderId="96" xfId="0" applyFont="1" applyBorder="1">
      <alignment vertical="center"/>
    </xf>
    <xf numFmtId="0" fontId="3" fillId="0" borderId="22" xfId="0" applyFont="1" applyBorder="1">
      <alignment vertical="center"/>
    </xf>
    <xf numFmtId="0" fontId="3" fillId="0" borderId="97" xfId="0" applyFont="1" applyBorder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 vertical="center"/>
    </xf>
  </cellXfs>
  <cellStyles count="1">
    <cellStyle name="표준" xfId="0" builtinId="0"/>
  </cellStyles>
  <dxfs count="8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176" formatCode="#,##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176" formatCode="#,##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19" formatCode="yyyy/mm/dd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hair">
          <color rgb="FF825142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</dxf>
    <dxf>
      <border>
        <bottom style="medium">
          <color rgb="FF8251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</dxf>
    <dxf>
      <border>
        <bottom style="medium">
          <color rgb="FF8251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vertical style="thin">
          <color theme="2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hair">
          <color rgb="FF825142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</dxf>
    <dxf>
      <border>
        <bottom style="medium">
          <color rgb="FF8251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minor"/>
      </font>
      <numFmt numFmtId="176" formatCode="#,##0_ "/>
      <fill>
        <patternFill patternType="solid">
          <fgColor indexed="64"/>
          <bgColor rgb="FFF8F8F8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rgb="FF825142"/>
        </left>
        <right/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0" formatCode="General"/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rgb="FF825142"/>
        </left>
        <right style="thin">
          <color rgb="FF825142"/>
        </right>
        <vertic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border diagonalUp="0" diagonalDown="0">
        <left/>
        <right style="hair">
          <color rgb="FF825142"/>
        </right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minor"/>
      </font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825142"/>
        </left>
        <right/>
        <vertic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rgb="FF825142"/>
        </left>
        <right style="thin">
          <color rgb="FF825142"/>
        </right>
        <vertic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C00000"/>
        <name val="맑은 고딕"/>
        <family val="3"/>
        <charset val="129"/>
        <scheme val="minor"/>
      </font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border diagonalUp="0" diagonalDown="0">
        <left/>
        <right style="hair">
          <color rgb="FF825142"/>
        </right>
        <vertic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C00000"/>
        <name val="맑은 고딕"/>
        <family val="3"/>
        <charset val="129"/>
        <scheme val="minor"/>
      </font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rgb="FF825142"/>
        </left>
        <right/>
        <vertic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맑은 고딕"/>
        <family val="3"/>
        <charset val="129"/>
        <scheme val="minor"/>
      </font>
      <numFmt numFmtId="0" formatCode="General"/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border diagonalUp="0" diagonalDown="0">
        <left/>
        <right style="hair">
          <color rgb="FF825142"/>
        </right>
        <vertic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minor"/>
      </font>
      <numFmt numFmtId="0" formatCode="General"/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0" formatCode="General"/>
      <fill>
        <patternFill patternType="solid">
          <fgColor indexed="64"/>
          <bgColor rgb="FFF8F8F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825142"/>
        </left>
        <right/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7C80"/>
        <name val="맑은 고딕"/>
        <family val="2"/>
        <charset val="129"/>
        <scheme val="minor"/>
      </font>
      <numFmt numFmtId="19" formatCode="yyyy/mm/dd"/>
      <alignment horizontal="center" vertical="center" textRotation="0" wrapText="0" indent="0" justifyLastLine="0" shrinkToFit="0" readingOrder="0"/>
      <border diagonalUp="0" diagonalDown="0">
        <left/>
        <right style="thin">
          <color rgb="FF825142"/>
        </right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176" formatCode="#,##0_ "/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19" formatCode="yyyy/mm/dd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9F9F9"/>
        </patternFill>
      </fill>
      <alignment horizontal="center" vertical="center" textRotation="0" wrapText="0" indent="0" justifyLastLine="0" shrinkToFit="0" readingOrder="0"/>
      <protection locked="0" hidden="0"/>
    </dxf>
    <dxf>
      <border>
        <bottom style="medium">
          <color rgb="FF8251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177" formatCode="General&quot;월&quot;"/>
      <alignment horizontal="center" vertical="center" textRotation="0" wrapText="0" indent="0" justifyLastLine="0" shrinkToFit="1" readingOrder="0"/>
      <border diagonalUp="0" diagonalDown="0">
        <left style="hair">
          <color theme="0"/>
        </left>
        <right style="hair">
          <color theme="0"/>
        </right>
        <top/>
        <bottom/>
      </border>
      <protection locked="1" hidden="0"/>
    </dxf>
    <dxf>
      <font>
        <b/>
        <i val="0"/>
        <color rgb="FFFF0000"/>
      </font>
    </dxf>
    <dxf>
      <font>
        <b/>
        <i val="0"/>
      </font>
      <fill>
        <patternFill>
          <bgColor rgb="FFF5EEEB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gradientFill degree="90">
          <stop position="0">
            <color rgb="FF825142"/>
          </stop>
          <stop position="1">
            <color rgb="FFAA6E5A"/>
          </stop>
        </gradientFill>
      </fill>
    </dxf>
    <dxf>
      <font>
        <b/>
        <i val="0"/>
        <color theme="0"/>
      </font>
      <fill>
        <gradientFill degree="90">
          <stop position="0">
            <color rgb="FF825142"/>
          </stop>
          <stop position="1">
            <color rgb="FFAA6E5A"/>
          </stop>
        </gradientFill>
      </fill>
    </dxf>
    <dxf>
      <font>
        <b/>
        <i val="0"/>
        <color theme="0"/>
      </font>
      <fill>
        <gradientFill degree="90">
          <stop position="0">
            <color rgb="FF825142"/>
          </stop>
          <stop position="1">
            <color rgb="FFAA6E5A"/>
          </stop>
        </gradientFill>
      </fill>
    </dxf>
    <dxf>
      <font>
        <b/>
        <i val="0"/>
        <color theme="0"/>
      </font>
      <fill>
        <gradientFill degree="90">
          <stop position="0">
            <color rgb="FF825142"/>
          </stop>
          <stop position="1">
            <color rgb="FFAA6E5A"/>
          </stop>
        </gradientFill>
      </fill>
    </dxf>
    <dxf>
      <font>
        <b/>
        <i val="0"/>
        <color theme="0"/>
      </font>
      <fill>
        <gradientFill degree="90">
          <stop position="0">
            <color rgb="FF825142"/>
          </stop>
          <stop position="1">
            <color rgb="FFAA6E5A"/>
          </stop>
        </gradientFill>
      </fill>
    </dxf>
    <dxf>
      <font>
        <b/>
        <i val="0"/>
        <color theme="0"/>
      </font>
      <fill>
        <gradientFill degree="90">
          <stop position="0">
            <color rgb="FF825142"/>
          </stop>
          <stop position="1">
            <color rgb="FFAA6E5A"/>
          </stop>
        </gradientFill>
      </fill>
    </dxf>
    <dxf>
      <font>
        <b/>
        <i val="0"/>
        <color theme="0"/>
      </font>
      <fill>
        <gradientFill degree="90">
          <stop position="0">
            <color rgb="FF825142"/>
          </stop>
          <stop position="1">
            <color rgb="FFAA6E5A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numFmt numFmtId="19" formatCode="yyyy/mm/dd"/>
      <alignment horizontal="center" vertical="center" textRotation="0" wrapText="0" indent="0" justifyLastLine="0" shrinkToFit="1" readingOrder="0"/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1" readingOrder="0"/>
    </dxf>
    <dxf>
      <border>
        <bottom style="medium">
          <color rgb="FF8251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2"/>
        </left>
        <right style="thin">
          <color theme="2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1" readingOrder="0"/>
    </dxf>
    <dxf>
      <border>
        <bottom style="medium">
          <color rgb="FF8251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2"/>
        </left>
        <right style="thin">
          <color theme="2"/>
        </right>
      </border>
    </dxf>
    <dxf>
      <border>
        <top style="thin">
          <color rgb="FF825142"/>
        </top>
        <bottom style="thin">
          <color rgb="FF825142"/>
        </bottom>
        <vertical style="hair">
          <color theme="0"/>
        </vertical>
        <horizontal style="hair">
          <color theme="0"/>
        </horizontal>
      </border>
    </dxf>
    <dxf>
      <border>
        <top style="thin">
          <color rgb="FF825142"/>
        </top>
        <bottom style="thin">
          <color rgb="FF825142"/>
        </bottom>
        <vertical style="hair">
          <color theme="0" tint="-0.14996795556505021"/>
        </vertical>
        <horizontal style="hair">
          <color theme="0" tint="-0.14996795556505021"/>
        </horizontal>
      </border>
    </dxf>
  </dxfs>
  <tableStyles count="2" defaultTableStyle="TableStyleMedium2" defaultPivotStyle="PivotStyleLight16">
    <tableStyle name="표 스타일 1" pivot="0" count="1" xr9:uid="{99D5ECBA-ADC1-4FE5-B3AB-CF2B54DF90DC}">
      <tableStyleElement type="wholeTable" dxfId="88"/>
    </tableStyle>
    <tableStyle name="표 스타일 1 2" pivot="0" count="1" xr9:uid="{ED2C9855-2876-4F8F-A796-B978A6B60F5E}">
      <tableStyleElement type="wholeTable" dxfId="87"/>
    </tableStyle>
  </tableStyles>
  <colors>
    <mruColors>
      <color rgb="FFAA6E5A"/>
      <color rgb="FFB297B7"/>
      <color rgb="FFF8F8F8"/>
      <color rgb="FF825142"/>
      <color rgb="FFC5A091"/>
      <color rgb="FF74567A"/>
      <color rgb="FFE3D2CB"/>
      <color rgb="FFFCF1EE"/>
      <color rgb="FFFF7C8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988604767481958E-2"/>
          <c:y val="3.2927956248814907E-2"/>
          <c:w val="0.97834346622593515"/>
          <c:h val="0.9328642855004341"/>
        </c:manualLayout>
      </c:layout>
      <c:barChart>
        <c:barDir val="bar"/>
        <c:grouping val="percentStacked"/>
        <c:varyColors val="0"/>
        <c:ser>
          <c:idx val="0"/>
          <c:order val="0"/>
          <c:spPr>
            <a:gradFill>
              <a:gsLst>
                <a:gs pos="30000">
                  <a:srgbClr val="654073"/>
                </a:gs>
                <a:gs pos="100000">
                  <a:srgbClr val="C5A091"/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val>
            <c:numRef>
              <c:f>setting!$CF$5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60-482C-BE73-7200987C37E0}"/>
            </c:ext>
          </c:extLst>
        </c:ser>
        <c:ser>
          <c:idx val="1"/>
          <c:order val="1"/>
          <c:spPr>
            <a:solidFill>
              <a:srgbClr val="FCF1EE"/>
            </a:solidFill>
            <a:ln>
              <a:noFill/>
            </a:ln>
            <a:effectLst/>
          </c:spPr>
          <c:invertIfNegative val="0"/>
          <c:val>
            <c:numRef>
              <c:f>setting!$CF$6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DB-4AB9-97DF-C1C1FA857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16105104"/>
        <c:axId val="2003782816"/>
      </c:barChart>
      <c:catAx>
        <c:axId val="2016105104"/>
        <c:scaling>
          <c:orientation val="minMax"/>
        </c:scaling>
        <c:delete val="1"/>
        <c:axPos val="l"/>
        <c:majorTickMark val="out"/>
        <c:minorTickMark val="none"/>
        <c:tickLblPos val="nextTo"/>
        <c:crossAx val="2003782816"/>
        <c:crosses val="autoZero"/>
        <c:auto val="1"/>
        <c:lblAlgn val="ctr"/>
        <c:lblOffset val="100"/>
        <c:noMultiLvlLbl val="0"/>
      </c:catAx>
      <c:valAx>
        <c:axId val="2003782816"/>
        <c:scaling>
          <c:orientation val="minMax"/>
          <c:max val="1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2016105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39784213824483E-2"/>
          <c:y val="2.6016260162601626E-2"/>
          <c:w val="0.88040003014624302"/>
          <c:h val="0.95447154471544726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flip="none" rotWithShape="1">
              <a:gsLst>
                <a:gs pos="20000">
                  <a:srgbClr val="654073"/>
                </a:gs>
                <a:gs pos="100000">
                  <a:srgbClr val="C5A091"/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654073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setting!$CA$19:$CA$25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setting!$CB$19:$CB$25</c:f>
              <c:numCache>
                <c:formatCode>0%</c:formatCode>
                <c:ptCount val="7"/>
                <c:pt idx="0">
                  <c:v>0.36363636363636365</c:v>
                </c:pt>
                <c:pt idx="1">
                  <c:v>0.22727272727272727</c:v>
                </c:pt>
                <c:pt idx="2">
                  <c:v>9.0909090909090912E-2</c:v>
                </c:pt>
                <c:pt idx="3">
                  <c:v>9.0909090909090912E-2</c:v>
                </c:pt>
                <c:pt idx="4">
                  <c:v>0.22727272727272727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99-453D-A9AA-CA8F7DFCA1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765860336"/>
        <c:axId val="2003768672"/>
      </c:barChart>
      <c:catAx>
        <c:axId val="17658603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003768672"/>
        <c:crosses val="autoZero"/>
        <c:auto val="1"/>
        <c:lblAlgn val="ctr"/>
        <c:lblOffset val="100"/>
        <c:noMultiLvlLbl val="0"/>
      </c:catAx>
      <c:valAx>
        <c:axId val="200376867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765860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516516516516516E-2"/>
          <c:y val="0.10757587340417397"/>
          <c:w val="0.96696696696696693"/>
          <c:h val="0.73670922202685818"/>
        </c:manualLayout>
      </c:layout>
      <c:barChart>
        <c:barDir val="col"/>
        <c:grouping val="stacked"/>
        <c:varyColors val="0"/>
        <c:ser>
          <c:idx val="1"/>
          <c:order val="0"/>
          <c:spPr>
            <a:noFill/>
            <a:ln>
              <a:gradFill>
                <a:gsLst>
                  <a:gs pos="0">
                    <a:srgbClr val="E3D2CB"/>
                  </a:gs>
                  <a:gs pos="42000">
                    <a:srgbClr val="825142"/>
                  </a:gs>
                  <a:gs pos="100000">
                    <a:srgbClr val="C5A091"/>
                  </a:gs>
                </a:gsLst>
                <a:lin ang="5400000" scaled="1"/>
              </a:gradFill>
            </a:ln>
            <a:effectLst/>
          </c:spPr>
          <c:invertIfNegative val="0"/>
          <c:cat>
            <c:numRef>
              <c:f>setting!$CA$5:$CA$16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setting!$CD$5:$CD$16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</c:v>
                </c:pt>
                <c:pt idx="8">
                  <c:v>#N/A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03-4BE0-AD95-1FB26D9ECDAE}"/>
            </c:ext>
          </c:extLst>
        </c:ser>
        <c:ser>
          <c:idx val="0"/>
          <c:order val="1"/>
          <c:spPr>
            <a:gradFill>
              <a:gsLst>
                <a:gs pos="73000">
                  <a:srgbClr val="825142"/>
                </a:gs>
                <a:gs pos="0">
                  <a:srgbClr val="C5A091"/>
                </a:gs>
              </a:gsLst>
              <a:lin ang="5400000" scaled="1"/>
            </a:gradFill>
            <a:ln>
              <a:gradFill>
                <a:gsLst>
                  <a:gs pos="0">
                    <a:srgbClr val="C5A091"/>
                  </a:gs>
                  <a:gs pos="100000">
                    <a:srgbClr val="825142"/>
                  </a:gs>
                </a:gsLst>
                <a:lin ang="5400000" scaled="1"/>
              </a:gradFill>
            </a:ln>
            <a:effectLst/>
          </c:spPr>
          <c:invertIfNegative val="0"/>
          <c:cat>
            <c:numRef>
              <c:f>setting!$CA$5:$CA$16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setting!$CB$5:$CB$16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03-4BE0-AD95-1FB26D9EC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0"/>
        <c:overlap val="100"/>
        <c:axId val="805713312"/>
        <c:axId val="684082000"/>
      </c:barChart>
      <c:lineChart>
        <c:grouping val="standard"/>
        <c:varyColors val="0"/>
        <c:ser>
          <c:idx val="3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825142"/>
                    </a:solidFill>
                    <a:latin typeface="+mn-ea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setting!$CC$5:$CC$16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</c:v>
                </c:pt>
                <c:pt idx="8">
                  <c:v>#N/A</c:v>
                </c:pt>
                <c:pt idx="9">
                  <c:v>11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03-4BE0-AD95-1FB26D9EC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771920"/>
        <c:axId val="887271456"/>
      </c:lineChart>
      <c:catAx>
        <c:axId val="805713312"/>
        <c:scaling>
          <c:orientation val="minMax"/>
        </c:scaling>
        <c:delete val="0"/>
        <c:axPos val="b"/>
        <c:numFmt formatCode="General&quot;월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84082000"/>
        <c:crosses val="autoZero"/>
        <c:auto val="1"/>
        <c:lblAlgn val="ctr"/>
        <c:lblOffset val="100"/>
        <c:noMultiLvlLbl val="0"/>
      </c:catAx>
      <c:valAx>
        <c:axId val="6840820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05713312"/>
        <c:crosses val="autoZero"/>
        <c:crossBetween val="between"/>
      </c:valAx>
      <c:valAx>
        <c:axId val="88727145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19771920"/>
        <c:crosses val="max"/>
        <c:crossBetween val="between"/>
      </c:valAx>
      <c:catAx>
        <c:axId val="219771920"/>
        <c:scaling>
          <c:orientation val="minMax"/>
        </c:scaling>
        <c:delete val="1"/>
        <c:axPos val="b"/>
        <c:majorTickMark val="out"/>
        <c:minorTickMark val="none"/>
        <c:tickLblPos val="nextTo"/>
        <c:crossAx val="8872714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5" Type="http://schemas.openxmlformats.org/officeDocument/2006/relationships/hyperlink" Target="https://blog.naver.com/worksheets/221718968126" TargetMode="External"/><Relationship Id="rId4" Type="http://schemas.openxmlformats.org/officeDocument/2006/relationships/hyperlink" Target="https://blog.naver.com/worksheets/221714094535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jpg"/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12" Type="http://schemas.openxmlformats.org/officeDocument/2006/relationships/image" Target="../media/image15.jp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svg"/><Relationship Id="rId15" Type="http://schemas.openxmlformats.org/officeDocument/2006/relationships/image" Target="../media/image18.sv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svg"/><Relationship Id="rId14" Type="http://schemas.openxmlformats.org/officeDocument/2006/relationships/image" Target="../media/image1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image" Target="../media/image19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3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svg"/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685799</xdr:colOff>
      <xdr:row>11</xdr:row>
      <xdr:rowOff>142875</xdr:rowOff>
    </xdr:from>
    <xdr:to>
      <xdr:col>16</xdr:col>
      <xdr:colOff>19058</xdr:colOff>
      <xdr:row>24</xdr:row>
      <xdr:rowOff>57156</xdr:rowOff>
    </xdr:to>
    <xdr:grpSp>
      <xdr:nvGrpSpPr>
        <xdr:cNvPr id="29" name="info1_2">
          <a:extLst>
            <a:ext uri="{FF2B5EF4-FFF2-40B4-BE49-F238E27FC236}">
              <a16:creationId xmlns:a16="http://schemas.microsoft.com/office/drawing/2014/main" id="{C39B7EBB-4D46-4236-92F6-8D160E258C46}"/>
            </a:ext>
          </a:extLst>
        </xdr:cNvPr>
        <xdr:cNvGrpSpPr/>
      </xdr:nvGrpSpPr>
      <xdr:grpSpPr>
        <a:xfrm>
          <a:off x="7981949" y="3371850"/>
          <a:ext cx="4133859" cy="3381381"/>
          <a:chOff x="7248516" y="352419"/>
          <a:chExt cx="4133859" cy="3381381"/>
        </a:xfrm>
      </xdr:grpSpPr>
      <xdr:sp macro="" textlink="">
        <xdr:nvSpPr>
          <xdr:cNvPr id="30" name="직사각형 29">
            <a:extLst>
              <a:ext uri="{FF2B5EF4-FFF2-40B4-BE49-F238E27FC236}">
                <a16:creationId xmlns:a16="http://schemas.microsoft.com/office/drawing/2014/main" id="{63169157-C0B4-486B-933F-F4DF2446A370}"/>
              </a:ext>
            </a:extLst>
          </xdr:cNvPr>
          <xdr:cNvSpPr/>
        </xdr:nvSpPr>
        <xdr:spPr>
          <a:xfrm>
            <a:off x="7248516" y="352419"/>
            <a:ext cx="4133859" cy="3381381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altLang="ko-KR" sz="1100">
              <a:solidFill>
                <a:sysClr val="windowText" lastClr="000000"/>
              </a:solidFill>
              <a:latin typeface="+mn-ea"/>
              <a:ea typeface="+mn-ea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목록에서 </a:t>
            </a:r>
            <a:r>
              <a:rPr lang="ko-KR" altLang="en-US" sz="900" b="0">
                <a:solidFill>
                  <a:srgbClr val="C00000"/>
                </a:solidFill>
                <a:effectLst/>
                <a:latin typeface="+mn-ea"/>
                <a:ea typeface="+mn-ea"/>
                <a:cs typeface="+mn-cs"/>
              </a:rPr>
              <a:t>삭제를 원하는 공휴일</a:t>
            </a:r>
            <a:r>
              <a:rPr lang="ko-KR" altLang="en-US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은 아래와 같이 삭제해 주세요</a:t>
            </a:r>
            <a:r>
              <a:rPr lang="en-US" altLang="ko-KR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ko-KR" altLang="en-US" sz="900">
              <a:solidFill>
                <a:sysClr val="windowText" lastClr="000000"/>
              </a:solidFill>
              <a:latin typeface="+mn-ea"/>
              <a:ea typeface="+mn-ea"/>
            </a:endParaRPr>
          </a:p>
        </xdr:txBody>
      </xdr:sp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209596C8-58D4-44AB-BD0D-934C5C15F133}"/>
              </a:ext>
            </a:extLst>
          </xdr:cNvPr>
          <xdr:cNvSpPr txBox="1"/>
        </xdr:nvSpPr>
        <xdr:spPr>
          <a:xfrm>
            <a:off x="7258040" y="361945"/>
            <a:ext cx="4122081" cy="226800"/>
          </a:xfrm>
          <a:prstGeom prst="rect">
            <a:avLst/>
          </a:prstGeom>
          <a:gradFill flip="none" rotWithShape="1">
            <a:gsLst>
              <a:gs pos="0">
                <a:srgbClr val="42A877"/>
              </a:gs>
              <a:gs pos="90000">
                <a:schemeClr val="tx1"/>
              </a:gs>
            </a:gsLst>
            <a:lin ang="0" scaled="1"/>
            <a:tileRect/>
          </a:gra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000" b="0">
                <a:solidFill>
                  <a:schemeClr val="bg1"/>
                </a:solidFill>
              </a:rPr>
              <a:t>How to use </a:t>
            </a:r>
            <a:r>
              <a:rPr lang="en-US" altLang="ko-KR" sz="1000" b="1">
                <a:solidFill>
                  <a:schemeClr val="bg1"/>
                </a:solidFill>
              </a:rPr>
              <a:t>WORKSHEETS</a:t>
            </a:r>
            <a:endParaRPr lang="ko-KR" altLang="en-US" sz="1000" b="1">
              <a:solidFill>
                <a:schemeClr val="bg1"/>
              </a:solidFill>
            </a:endParaRPr>
          </a:p>
        </xdr:txBody>
      </xdr:sp>
      <xdr:sp macro="[0]!info1_2_Del" textlink="">
        <xdr:nvSpPr>
          <xdr:cNvPr id="32" name="TextBox 31">
            <a:extLst>
              <a:ext uri="{FF2B5EF4-FFF2-40B4-BE49-F238E27FC236}">
                <a16:creationId xmlns:a16="http://schemas.microsoft.com/office/drawing/2014/main" id="{EE156A09-F86B-43C4-B378-79208344547D}"/>
              </a:ext>
            </a:extLst>
          </xdr:cNvPr>
          <xdr:cNvSpPr txBox="1"/>
        </xdr:nvSpPr>
        <xdr:spPr>
          <a:xfrm>
            <a:off x="11096617" y="352420"/>
            <a:ext cx="285751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</a:rPr>
              <a:t>X</a:t>
            </a:r>
            <a:endParaRPr lang="ko-KR" altLang="en-US" sz="1100" b="1">
              <a:solidFill>
                <a:schemeClr val="bg1"/>
              </a:solidFill>
            </a:endParaRPr>
          </a:p>
        </xdr:txBody>
      </xdr:sp>
      <xdr:pic>
        <xdr:nvPicPr>
          <xdr:cNvPr id="33" name="그림 32">
            <a:extLst>
              <a:ext uri="{FF2B5EF4-FFF2-40B4-BE49-F238E27FC236}">
                <a16:creationId xmlns:a16="http://schemas.microsoft.com/office/drawing/2014/main" id="{7741729D-C22D-41DF-A05A-A335193B31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360261" y="952499"/>
            <a:ext cx="3912021" cy="2657476"/>
          </a:xfrm>
          <a:prstGeom prst="rect">
            <a:avLst/>
          </a:prstGeom>
          <a:ln>
            <a:solidFill>
              <a:schemeClr val="bg1">
                <a:lumMod val="85000"/>
              </a:schemeClr>
            </a:solidFill>
          </a:ln>
        </xdr:spPr>
      </xdr:pic>
    </xdr:grpSp>
    <xdr:clientData/>
  </xdr:twoCellAnchor>
  <xdr:twoCellAnchor editAs="absolute">
    <xdr:from>
      <xdr:col>9</xdr:col>
      <xdr:colOff>552449</xdr:colOff>
      <xdr:row>25</xdr:row>
      <xdr:rowOff>66674</xdr:rowOff>
    </xdr:from>
    <xdr:to>
      <xdr:col>14</xdr:col>
      <xdr:colOff>466723</xdr:colOff>
      <xdr:row>37</xdr:row>
      <xdr:rowOff>57150</xdr:rowOff>
    </xdr:to>
    <xdr:grpSp>
      <xdr:nvGrpSpPr>
        <xdr:cNvPr id="34" name="info1_1">
          <a:extLst>
            <a:ext uri="{FF2B5EF4-FFF2-40B4-BE49-F238E27FC236}">
              <a16:creationId xmlns:a16="http://schemas.microsoft.com/office/drawing/2014/main" id="{6CDB2252-72F2-47C5-B5B6-000E068727E3}"/>
            </a:ext>
          </a:extLst>
        </xdr:cNvPr>
        <xdr:cNvGrpSpPr/>
      </xdr:nvGrpSpPr>
      <xdr:grpSpPr>
        <a:xfrm>
          <a:off x="7848599" y="7029449"/>
          <a:ext cx="3343274" cy="3190876"/>
          <a:chOff x="6486517" y="1142993"/>
          <a:chExt cx="3248025" cy="3190876"/>
        </a:xfrm>
      </xdr:grpSpPr>
      <xdr:sp macro="" textlink="">
        <xdr:nvSpPr>
          <xdr:cNvPr id="35" name="직사각형 34">
            <a:extLst>
              <a:ext uri="{FF2B5EF4-FFF2-40B4-BE49-F238E27FC236}">
                <a16:creationId xmlns:a16="http://schemas.microsoft.com/office/drawing/2014/main" id="{C56AEDEF-59D1-4195-8061-922CCA06EF5F}"/>
              </a:ext>
            </a:extLst>
          </xdr:cNvPr>
          <xdr:cNvSpPr/>
        </xdr:nvSpPr>
        <xdr:spPr>
          <a:xfrm>
            <a:off x="6486517" y="1142993"/>
            <a:ext cx="3238500" cy="3190876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altLang="ko-KR" sz="1100">
              <a:solidFill>
                <a:sysClr val="windowText" lastClr="000000"/>
              </a:solidFill>
              <a:latin typeface="+mn-ea"/>
              <a:ea typeface="+mn-ea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1.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기준 회계월을 설정해 주세요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[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회계기간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] 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1</a:t>
            </a:r>
            <a:r>
              <a:rPr kumimoji="0" lang="ko-KR" altLang="en-US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월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~12</a:t>
            </a:r>
            <a:r>
              <a:rPr kumimoji="0" lang="ko-KR" altLang="en-US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월 → 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1</a:t>
            </a:r>
            <a:r>
              <a:rPr kumimoji="0" lang="ko-KR" altLang="en-US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월 선택 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/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4</a:t>
            </a:r>
            <a:r>
              <a:rPr kumimoji="0" lang="ko-KR" altLang="en-US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월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~3</a:t>
            </a:r>
            <a:r>
              <a:rPr kumimoji="0" lang="ko-KR" altLang="en-US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월 → 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4</a:t>
            </a:r>
            <a:r>
              <a:rPr kumimoji="0" lang="ko-KR" altLang="en-US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월 선택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altLang="ko-KR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900" b="1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2.</a:t>
            </a:r>
            <a:r>
              <a:rPr lang="en-US" altLang="ko-KR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 </a:t>
            </a:r>
            <a:r>
              <a:rPr lang="ko-KR" altLang="en-US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사업장에서 사용하는 휴가항목을 설정해 주세요</a:t>
            </a:r>
            <a:r>
              <a:rPr lang="en-US" altLang="ko-KR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900" b="1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 [</a:t>
            </a:r>
            <a:r>
              <a:rPr lang="ko-KR" altLang="en-US" sz="900" b="1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휴가구분</a:t>
            </a:r>
            <a:r>
              <a:rPr lang="en-US" altLang="ko-KR" sz="900" b="1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]</a:t>
            </a:r>
            <a:r>
              <a:rPr lang="en-US" altLang="ko-KR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 </a:t>
            </a:r>
            <a:r>
              <a:rPr lang="ko-KR" altLang="en-US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연차</a:t>
            </a:r>
            <a:r>
              <a:rPr lang="en-US" altLang="ko-KR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, </a:t>
            </a:r>
            <a:r>
              <a:rPr lang="ko-KR" altLang="en-US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반차</a:t>
            </a:r>
            <a:r>
              <a:rPr lang="en-US" altLang="ko-KR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, </a:t>
            </a:r>
            <a:r>
              <a:rPr lang="ko-KR" altLang="en-US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경조휴가</a:t>
            </a:r>
            <a:r>
              <a:rPr lang="en-US" altLang="ko-KR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, </a:t>
            </a:r>
            <a:r>
              <a:rPr lang="ko-KR" altLang="en-US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지각 등</a:t>
            </a:r>
            <a:r>
              <a:rPr lang="en-US" altLang="ko-KR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altLang="ko-KR" sz="900" baseline="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900" b="1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 [</a:t>
            </a:r>
            <a:r>
              <a:rPr lang="ko-KR" altLang="en-US" sz="900" b="1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기준일수</a:t>
            </a:r>
            <a:r>
              <a:rPr lang="en-US" altLang="ko-KR" sz="900" b="1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]</a:t>
            </a:r>
            <a:r>
              <a:rPr lang="en-US" altLang="ko-KR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 </a:t>
            </a:r>
            <a:r>
              <a:rPr lang="en-US" altLang="ko-KR" sz="900" b="0" baseline="0">
                <a:solidFill>
                  <a:srgbClr val="C00000"/>
                </a:solidFill>
                <a:effectLst/>
                <a:latin typeface="+mn-ea"/>
                <a:ea typeface="+mn-ea"/>
                <a:cs typeface="+mn-cs"/>
              </a:rPr>
              <a:t>8</a:t>
            </a:r>
            <a:r>
              <a:rPr lang="ko-KR" altLang="en-US" sz="900" b="0" baseline="0">
                <a:solidFill>
                  <a:srgbClr val="C00000"/>
                </a:solidFill>
                <a:effectLst/>
                <a:latin typeface="+mn-ea"/>
                <a:ea typeface="+mn-ea"/>
                <a:cs typeface="+mn-cs"/>
              </a:rPr>
              <a:t>시간 기준 </a:t>
            </a:r>
            <a:r>
              <a:rPr lang="en-US" altLang="ko-KR" sz="900" b="0" baseline="0">
                <a:solidFill>
                  <a:srgbClr val="C00000"/>
                </a:solidFill>
                <a:effectLst/>
                <a:latin typeface="+mn-ea"/>
                <a:ea typeface="+mn-ea"/>
                <a:cs typeface="+mn-cs"/>
              </a:rPr>
              <a:t>1</a:t>
            </a:r>
            <a:r>
              <a:rPr lang="ko-KR" altLang="en-US" sz="900" b="0" baseline="0">
                <a:solidFill>
                  <a:srgbClr val="C00000"/>
                </a:solidFill>
                <a:effectLst/>
                <a:latin typeface="+mn-ea"/>
                <a:ea typeface="+mn-ea"/>
                <a:cs typeface="+mn-cs"/>
              </a:rPr>
              <a:t>로 입력</a:t>
            </a:r>
            <a:r>
              <a:rPr lang="ko-KR" altLang="en-US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합니다</a:t>
            </a:r>
            <a:r>
              <a:rPr lang="en-US" altLang="ko-KR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  </a:t>
            </a:r>
            <a:r>
              <a:rPr lang="en-US" altLang="ko-KR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- </a:t>
            </a:r>
            <a:r>
              <a:rPr lang="ko-KR" altLang="en-US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연차</a:t>
            </a:r>
            <a:r>
              <a:rPr lang="en-US" altLang="ko-KR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 : </a:t>
            </a:r>
            <a:r>
              <a:rPr lang="en-US" altLang="ko-KR" sz="900" b="1" baseline="0">
                <a:solidFill>
                  <a:srgbClr val="C00000"/>
                </a:solidFill>
                <a:effectLst/>
                <a:latin typeface="+mn-ea"/>
                <a:ea typeface="+mn-ea"/>
                <a:cs typeface="+mn-cs"/>
              </a:rPr>
              <a:t>1</a:t>
            </a:r>
            <a:r>
              <a:rPr lang="en-US" altLang="ko-KR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 (8</a:t>
            </a:r>
            <a:r>
              <a:rPr lang="ko-KR" altLang="en-US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시간</a:t>
            </a:r>
            <a:r>
              <a:rPr lang="en-US" altLang="ko-KR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)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 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-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반차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: 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0.5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(4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시간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)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 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-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조퇴 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: 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0.25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(2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시간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)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altLang="ko-K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맑은 고딕" panose="020B0503020000020004" pitchFamily="50" charset="-127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[</a:t>
            </a:r>
            <a:r>
              <a:rPr kumimoji="0" lang="ko-KR" altLang="en-US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연차사용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]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연차일수에서 차감여부를 설정합니다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-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체크 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: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휴가일수 포함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,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연차일수에서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차감</a:t>
            </a:r>
            <a:endParaRPr kumimoji="0" lang="en-US" altLang="ko-KR" sz="900" b="0" i="0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맑은 고딕" panose="020B0503020000020004" pitchFamily="50" charset="-127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-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미체크 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: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휴가일수 포함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,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연차일수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미차감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ko-KR" altLang="en-US" sz="900">
              <a:solidFill>
                <a:sysClr val="windowText" lastClr="000000"/>
              </a:solidFill>
              <a:latin typeface="+mn-ea"/>
              <a:ea typeface="+mn-ea"/>
            </a:endParaRPr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8F935974-59BE-40EF-8E4D-F318726BAFFD}"/>
              </a:ext>
            </a:extLst>
          </xdr:cNvPr>
          <xdr:cNvSpPr txBox="1"/>
        </xdr:nvSpPr>
        <xdr:spPr>
          <a:xfrm>
            <a:off x="6496040" y="1152520"/>
            <a:ext cx="3229274" cy="226800"/>
          </a:xfrm>
          <a:prstGeom prst="rect">
            <a:avLst/>
          </a:prstGeom>
          <a:gradFill flip="none" rotWithShape="1">
            <a:gsLst>
              <a:gs pos="0">
                <a:srgbClr val="42A877"/>
              </a:gs>
              <a:gs pos="90000">
                <a:schemeClr val="tx1"/>
              </a:gs>
            </a:gsLst>
            <a:lin ang="0" scaled="1"/>
            <a:tileRect/>
          </a:gra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000" b="0">
                <a:solidFill>
                  <a:schemeClr val="bg1"/>
                </a:solidFill>
              </a:rPr>
              <a:t>How to use </a:t>
            </a:r>
            <a:r>
              <a:rPr lang="en-US" altLang="ko-KR" sz="1000" b="1">
                <a:solidFill>
                  <a:schemeClr val="bg1"/>
                </a:solidFill>
              </a:rPr>
              <a:t>WORKSHEETS</a:t>
            </a:r>
            <a:endParaRPr lang="ko-KR" altLang="en-US" sz="1000" b="1">
              <a:solidFill>
                <a:schemeClr val="bg1"/>
              </a:solidFill>
            </a:endParaRPr>
          </a:p>
        </xdr:txBody>
      </xdr:sp>
      <xdr:sp macro="[0]!info1_1_Del" textlink="">
        <xdr:nvSpPr>
          <xdr:cNvPr id="37" name="TextBox 36">
            <a:extLst>
              <a:ext uri="{FF2B5EF4-FFF2-40B4-BE49-F238E27FC236}">
                <a16:creationId xmlns:a16="http://schemas.microsoft.com/office/drawing/2014/main" id="{1C50CB16-11A8-484B-8BEF-8B066692ABB3}"/>
              </a:ext>
            </a:extLst>
          </xdr:cNvPr>
          <xdr:cNvSpPr txBox="1"/>
        </xdr:nvSpPr>
        <xdr:spPr>
          <a:xfrm>
            <a:off x="9448791" y="1142995"/>
            <a:ext cx="285751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</a:rPr>
              <a:t>X</a:t>
            </a:r>
            <a:endParaRPr lang="ko-KR" altLang="en-US" sz="1100" b="1">
              <a:solidFill>
                <a:schemeClr val="bg1"/>
              </a:solidFill>
            </a:endParaRPr>
          </a:p>
        </xdr:txBody>
      </xdr:sp>
    </xdr:grpSp>
    <xdr:clientData fPrintsWithSheet="0"/>
  </xdr:twoCellAnchor>
  <xdr:twoCellAnchor editAs="absolute">
    <xdr:from>
      <xdr:col>7</xdr:col>
      <xdr:colOff>123824</xdr:colOff>
      <xdr:row>3</xdr:row>
      <xdr:rowOff>247650</xdr:rowOff>
    </xdr:from>
    <xdr:to>
      <xdr:col>9</xdr:col>
      <xdr:colOff>409575</xdr:colOff>
      <xdr:row>5</xdr:row>
      <xdr:rowOff>30714</xdr:rowOff>
    </xdr:to>
    <xdr:grpSp>
      <xdr:nvGrpSpPr>
        <xdr:cNvPr id="15" name="grp1_1">
          <a:extLst>
            <a:ext uri="{FF2B5EF4-FFF2-40B4-BE49-F238E27FC236}">
              <a16:creationId xmlns:a16="http://schemas.microsoft.com/office/drawing/2014/main" id="{EDE5DBBB-DC64-4346-924B-3FC838CAC877}"/>
            </a:ext>
          </a:extLst>
        </xdr:cNvPr>
        <xdr:cNvGrpSpPr/>
      </xdr:nvGrpSpPr>
      <xdr:grpSpPr>
        <a:xfrm>
          <a:off x="6048374" y="1323975"/>
          <a:ext cx="1657351" cy="335514"/>
          <a:chOff x="5734049" y="476250"/>
          <a:chExt cx="1657351" cy="335514"/>
        </a:xfrm>
      </xdr:grpSpPr>
      <xdr:grpSp>
        <xdr:nvGrpSpPr>
          <xdr:cNvPr id="16" name="그룹 15">
            <a:extLst>
              <a:ext uri="{FF2B5EF4-FFF2-40B4-BE49-F238E27FC236}">
                <a16:creationId xmlns:a16="http://schemas.microsoft.com/office/drawing/2014/main" id="{D744FE78-7CD1-48D4-A8F5-C0C0C8AB0DFF}"/>
              </a:ext>
            </a:extLst>
          </xdr:cNvPr>
          <xdr:cNvGrpSpPr/>
        </xdr:nvGrpSpPr>
        <xdr:grpSpPr>
          <a:xfrm>
            <a:off x="5734049" y="476250"/>
            <a:ext cx="1657351" cy="335514"/>
            <a:chOff x="3970846" y="3737573"/>
            <a:chExt cx="1657351" cy="335514"/>
          </a:xfrm>
        </xdr:grpSpPr>
        <xdr:sp macro="[0]!frm_Holi_Open" textlink="">
          <xdr:nvSpPr>
            <xdr:cNvPr id="18" name="사각형: 둥근 모서리 17">
              <a:extLst>
                <a:ext uri="{FF2B5EF4-FFF2-40B4-BE49-F238E27FC236}">
                  <a16:creationId xmlns:a16="http://schemas.microsoft.com/office/drawing/2014/main" id="{E2CC4024-4916-497D-B600-2BA2C5C3A691}"/>
                </a:ext>
              </a:extLst>
            </xdr:cNvPr>
            <xdr:cNvSpPr/>
          </xdr:nvSpPr>
          <xdr:spPr>
            <a:xfrm>
              <a:off x="3970846" y="3741887"/>
              <a:ext cx="1657351" cy="331200"/>
            </a:xfrm>
            <a:prstGeom prst="roundRect">
              <a:avLst>
                <a:gd name="adj" fmla="val 50000"/>
              </a:avLst>
            </a:prstGeom>
            <a:noFill/>
            <a:ln w="12700">
              <a:noFill/>
            </a:ln>
            <a:effectLst>
              <a:outerShdw blurRad="50800" dist="38100" dir="2700000" algn="tl" rotWithShape="0">
                <a:schemeClr val="tx1">
                  <a:lumMod val="50000"/>
                  <a:lumOff val="50000"/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altLang="ko-KR" sz="900" b="1" baseline="0">
                  <a:solidFill>
                    <a:srgbClr val="825142"/>
                  </a:solidFill>
                </a:rPr>
                <a:t> </a:t>
              </a:r>
              <a:r>
                <a:rPr lang="ko-KR" altLang="en-US" sz="900" b="1" baseline="0">
                  <a:solidFill>
                    <a:srgbClr val="825142"/>
                  </a:solidFill>
                </a:rPr>
                <a:t>공휴일 정보 업데이트</a:t>
              </a:r>
              <a:endParaRPr lang="ko-KR" altLang="en-US" sz="900" b="1">
                <a:solidFill>
                  <a:srgbClr val="825142"/>
                </a:solidFill>
              </a:endParaRPr>
            </a:p>
          </xdr:txBody>
        </xdr:sp>
        <xdr:sp macro="[0]!frm_Holi_Open" textlink="">
          <xdr:nvSpPr>
            <xdr:cNvPr id="19" name="타원 18">
              <a:extLst>
                <a:ext uri="{FF2B5EF4-FFF2-40B4-BE49-F238E27FC236}">
                  <a16:creationId xmlns:a16="http://schemas.microsoft.com/office/drawing/2014/main" id="{01BA0CB8-080A-4182-A1F3-FE8C398A2231}"/>
                </a:ext>
              </a:extLst>
            </xdr:cNvPr>
            <xdr:cNvSpPr/>
          </xdr:nvSpPr>
          <xdr:spPr>
            <a:xfrm>
              <a:off x="3991515" y="3737573"/>
              <a:ext cx="324000" cy="324000"/>
            </a:xfrm>
            <a:prstGeom prst="ellipse">
              <a:avLst/>
            </a:prstGeom>
            <a:gradFill>
              <a:gsLst>
                <a:gs pos="50000">
                  <a:srgbClr val="825142"/>
                </a:gs>
                <a:gs pos="100000">
                  <a:srgbClr val="AA6E5A"/>
                </a:gs>
              </a:gsLst>
              <a:lin ang="5400000" scaled="1"/>
            </a:gradFill>
            <a:ln w="12700">
              <a:solidFill>
                <a:srgbClr val="825142"/>
              </a:solidFill>
            </a:ln>
            <a:effectLst>
              <a:outerShdw blurRad="50800" dist="38100" dir="2700000" algn="tl" rotWithShape="0">
                <a:schemeClr val="tx1">
                  <a:lumMod val="50000"/>
                  <a:lumOff val="50000"/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pic macro="[0]!frm_Holi_Open">
        <xdr:nvPicPr>
          <xdr:cNvPr id="17" name="그래픽 16" descr="플립 달력">
            <a:extLst>
              <a:ext uri="{FF2B5EF4-FFF2-40B4-BE49-F238E27FC236}">
                <a16:creationId xmlns:a16="http://schemas.microsoft.com/office/drawing/2014/main" id="{60E2DF35-6EFD-4711-8726-0D62F62C5E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5781675" y="504825"/>
            <a:ext cx="280800" cy="280800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10</xdr:col>
      <xdr:colOff>0</xdr:colOff>
      <xdr:row>1</xdr:row>
      <xdr:rowOff>0</xdr:rowOff>
    </xdr:from>
    <xdr:to>
      <xdr:col>16</xdr:col>
      <xdr:colOff>9525</xdr:colOff>
      <xdr:row>10</xdr:row>
      <xdr:rowOff>19050</xdr:rowOff>
    </xdr:to>
    <xdr:grpSp>
      <xdr:nvGrpSpPr>
        <xdr:cNvPr id="40" name="info">
          <a:extLst>
            <a:ext uri="{FF2B5EF4-FFF2-40B4-BE49-F238E27FC236}">
              <a16:creationId xmlns:a16="http://schemas.microsoft.com/office/drawing/2014/main" id="{91048441-4842-4442-B7B5-FD9D0A82C3F1}"/>
            </a:ext>
          </a:extLst>
        </xdr:cNvPr>
        <xdr:cNvGrpSpPr/>
      </xdr:nvGrpSpPr>
      <xdr:grpSpPr>
        <a:xfrm>
          <a:off x="7981950" y="476250"/>
          <a:ext cx="4124325" cy="2505075"/>
          <a:chOff x="13039725" y="4448175"/>
          <a:chExt cx="4124325" cy="2505075"/>
        </a:xfrm>
      </xdr:grpSpPr>
      <xdr:sp macro="" textlink="">
        <xdr:nvSpPr>
          <xdr:cNvPr id="41" name="직사각형 40">
            <a:extLst>
              <a:ext uri="{FF2B5EF4-FFF2-40B4-BE49-F238E27FC236}">
                <a16:creationId xmlns:a16="http://schemas.microsoft.com/office/drawing/2014/main" id="{56B19B84-34A0-491D-8B5C-FFD50A93D850}"/>
              </a:ext>
            </a:extLst>
          </xdr:cNvPr>
          <xdr:cNvSpPr/>
        </xdr:nvSpPr>
        <xdr:spPr>
          <a:xfrm>
            <a:off x="13039725" y="4448175"/>
            <a:ext cx="4114800" cy="2505075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altLang="ko-KR" sz="1100">
              <a:solidFill>
                <a:schemeClr val="tx1">
                  <a:lumMod val="75000"/>
                  <a:lumOff val="25000"/>
                </a:schemeClr>
              </a:solidFill>
              <a:latin typeface="+mn-ea"/>
              <a:ea typeface="+mn-ea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1.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가장 먼저 기준 </a:t>
            </a:r>
            <a:r>
              <a:rPr kumimoji="0" lang="ko-KR" altLang="en-US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회계월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, </a:t>
            </a:r>
            <a:r>
              <a:rPr kumimoji="0" lang="ko-KR" altLang="en-US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휴가항목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, </a:t>
            </a:r>
            <a:r>
              <a:rPr kumimoji="0" lang="ko-KR" altLang="en-US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공휴일을 설정해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주세요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2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.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[HOME]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시트로 이동하여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사원정보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(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성명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~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퇴사일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)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를 등록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해 주세요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3.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주의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!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시트 구성을 변경할 경우 오류가 발생하며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,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이용이 불가합니다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altLang="ko-KR" sz="900" b="0" i="0" u="none" strike="noStrike" kern="0" cap="none" spc="0" normalizeH="0" baseline="0" noProof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맑은 고딕" panose="020B0503020000020004" pitchFamily="50" charset="-127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altLang="ko-KR" sz="900" b="0" i="0" u="none" strike="noStrike" kern="0" cap="none" spc="0" normalizeH="0" baseline="0" noProof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맑은 고딕" panose="020B0503020000020004" pitchFamily="50" charset="-127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altLang="ko-KR" sz="900" b="0" i="0" u="none" strike="noStrike" kern="0" cap="none" spc="0" normalizeH="0" baseline="0" noProof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맑은 고딕" panose="020B0503020000020004" pitchFamily="50" charset="-127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잠깐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!! 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[ OK ]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버튼을 클릭해도 안내창이 닫히지 않는다면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,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프로그램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(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매크로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)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형 엑셀 이용을 위해 보안설정을 진행해 주세요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.~!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altLang="ko-KR" sz="900" b="0" i="0" u="none" strike="noStrike" kern="0" cap="none" spc="0" normalizeH="0" baseline="0" noProof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맑은 고딕" panose="020B0503020000020004" pitchFamily="50" charset="-127"/>
              <a:ea typeface="+mn-ea"/>
              <a:cs typeface="+mn-cs"/>
            </a:endParaRPr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CD8C9FD9-9C3A-4704-BE4C-BF680F7249A3}"/>
              </a:ext>
            </a:extLst>
          </xdr:cNvPr>
          <xdr:cNvSpPr txBox="1"/>
        </xdr:nvSpPr>
        <xdr:spPr>
          <a:xfrm>
            <a:off x="13049250" y="4457700"/>
            <a:ext cx="4114800" cy="226800"/>
          </a:xfrm>
          <a:prstGeom prst="rect">
            <a:avLst/>
          </a:prstGeom>
          <a:gradFill flip="none" rotWithShape="1">
            <a:gsLst>
              <a:gs pos="0">
                <a:srgbClr val="42A877"/>
              </a:gs>
              <a:gs pos="90000">
                <a:schemeClr val="tx1"/>
              </a:gs>
            </a:gsLst>
            <a:lin ang="0" scaled="1"/>
            <a:tileRect/>
          </a:gra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000" b="0">
                <a:solidFill>
                  <a:schemeClr val="bg1"/>
                </a:solidFill>
              </a:rPr>
              <a:t>How to use </a:t>
            </a:r>
            <a:r>
              <a:rPr lang="en-US" altLang="ko-KR" sz="1000" b="1">
                <a:solidFill>
                  <a:schemeClr val="bg1"/>
                </a:solidFill>
              </a:rPr>
              <a:t>WORKSHEETS</a:t>
            </a:r>
            <a:endParaRPr lang="ko-KR" altLang="en-US" sz="1000" b="1">
              <a:solidFill>
                <a:schemeClr val="bg1"/>
              </a:solidFill>
            </a:endParaRPr>
          </a:p>
        </xdr:txBody>
      </xdr:sp>
      <xdr:sp macro="[0]!info_Del" textlink="">
        <xdr:nvSpPr>
          <xdr:cNvPr id="43" name="TextBox 42">
            <a:extLst>
              <a:ext uri="{FF2B5EF4-FFF2-40B4-BE49-F238E27FC236}">
                <a16:creationId xmlns:a16="http://schemas.microsoft.com/office/drawing/2014/main" id="{844E5F40-978F-437D-9FC5-2B1B7F7C327C}"/>
              </a:ext>
            </a:extLst>
          </xdr:cNvPr>
          <xdr:cNvSpPr txBox="1"/>
        </xdr:nvSpPr>
        <xdr:spPr>
          <a:xfrm>
            <a:off x="14773275" y="5448301"/>
            <a:ext cx="523875" cy="247650"/>
          </a:xfrm>
          <a:prstGeom prst="rect">
            <a:avLst/>
          </a:prstGeom>
          <a:gradFill flip="none" rotWithShape="1">
            <a:gsLst>
              <a:gs pos="0">
                <a:srgbClr val="42A877"/>
              </a:gs>
              <a:gs pos="90000">
                <a:schemeClr val="tx1"/>
              </a:gs>
            </a:gsLst>
            <a:lin ang="0" scaled="1"/>
            <a:tileRect/>
          </a:gra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altLang="ko-KR" sz="1200" b="0">
                <a:solidFill>
                  <a:schemeClr val="bg1"/>
                </a:solidFill>
              </a:rPr>
              <a:t>OK</a:t>
            </a:r>
            <a:endParaRPr lang="ko-KR" altLang="en-US" sz="1200" b="0">
              <a:solidFill>
                <a:schemeClr val="bg1"/>
              </a:solidFill>
            </a:endParaRPr>
          </a:p>
        </xdr:txBody>
      </xdr:sp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7DC81C64-3C3A-4D0B-B4D6-F9B7B79CD6E4}"/>
              </a:ext>
            </a:extLst>
          </xdr:cNvPr>
          <xdr:cNvCxnSpPr/>
        </xdr:nvCxnSpPr>
        <xdr:spPr>
          <a:xfrm>
            <a:off x="13173078" y="5810250"/>
            <a:ext cx="3857622" cy="0"/>
          </a:xfrm>
          <a:prstGeom prst="line">
            <a:avLst/>
          </a:prstGeom>
          <a:ln>
            <a:solidFill>
              <a:schemeClr val="bg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TextBox 4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FD8872C-C7B3-4B81-8620-E08356A4AC0E}"/>
              </a:ext>
            </a:extLst>
          </xdr:cNvPr>
          <xdr:cNvSpPr txBox="1"/>
        </xdr:nvSpPr>
        <xdr:spPr>
          <a:xfrm>
            <a:off x="13420725" y="6505575"/>
            <a:ext cx="1440000" cy="266700"/>
          </a:xfrm>
          <a:prstGeom prst="rect">
            <a:avLst/>
          </a:prstGeom>
          <a:solidFill>
            <a:schemeClr val="bg1"/>
          </a:solidFill>
          <a:ln w="12700" cmpd="sng">
            <a:solidFill>
              <a:srgbClr val="42A877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ko-KR" altLang="en-US" sz="900" b="1">
                <a:solidFill>
                  <a:srgbClr val="42A877"/>
                </a:solidFill>
                <a:latin typeface="+mn-ea"/>
                <a:ea typeface="+mn-ea"/>
              </a:rPr>
              <a:t>매크로 보안설정 안내</a:t>
            </a:r>
          </a:p>
        </xdr:txBody>
      </xdr:sp>
      <xdr:sp macro="" textlink="">
        <xdr:nvSpPr>
          <xdr:cNvPr id="46" name="TextBox 4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6D2F9BC-51DD-4BE2-9DBC-0C6AD17B6504}"/>
              </a:ext>
            </a:extLst>
          </xdr:cNvPr>
          <xdr:cNvSpPr txBox="1"/>
        </xdr:nvSpPr>
        <xdr:spPr>
          <a:xfrm>
            <a:off x="15287624" y="6505575"/>
            <a:ext cx="1440000" cy="266700"/>
          </a:xfrm>
          <a:prstGeom prst="rect">
            <a:avLst/>
          </a:prstGeom>
          <a:solidFill>
            <a:schemeClr val="bg1"/>
          </a:solidFill>
          <a:ln w="12700" cmpd="sng">
            <a:solidFill>
              <a:srgbClr val="42A877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ko-KR" altLang="en-US" sz="900" b="1">
                <a:solidFill>
                  <a:srgbClr val="42A877"/>
                </a:solidFill>
                <a:latin typeface="+mn-ea"/>
                <a:ea typeface="+mn-ea"/>
              </a:rPr>
              <a:t>제한된 보기 설정 안내</a:t>
            </a:r>
          </a:p>
        </xdr:txBody>
      </xdr:sp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590550</xdr:colOff>
      <xdr:row>2</xdr:row>
      <xdr:rowOff>9525</xdr:rowOff>
    </xdr:from>
    <xdr:to>
      <xdr:col>4</xdr:col>
      <xdr:colOff>790575</xdr:colOff>
      <xdr:row>2</xdr:row>
      <xdr:rowOff>319125</xdr:rowOff>
    </xdr:to>
    <xdr:sp macro="[0]!sh2_Year_Open" textlink="setting!A1">
      <xdr:nvSpPr>
        <xdr:cNvPr id="8" name="shpYear">
          <a:extLst>
            <a:ext uri="{FF2B5EF4-FFF2-40B4-BE49-F238E27FC236}">
              <a16:creationId xmlns:a16="http://schemas.microsoft.com/office/drawing/2014/main" id="{D19EC2F4-537F-4CBB-91E2-EF6F470562D0}"/>
            </a:ext>
          </a:extLst>
        </xdr:cNvPr>
        <xdr:cNvSpPr txBox="1"/>
      </xdr:nvSpPr>
      <xdr:spPr>
        <a:xfrm>
          <a:off x="2495550" y="581025"/>
          <a:ext cx="962025" cy="3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r"/>
          <a:fld id="{67C5E6E5-2DC0-45C2-96A5-B92E726288F9}" type="TxLink">
            <a:rPr lang="en-US" altLang="en-US" sz="1200" b="1" i="0" u="none" strike="noStrike">
              <a:solidFill>
                <a:srgbClr val="825142"/>
              </a:solidFill>
              <a:latin typeface="맑은 고딕"/>
              <a:ea typeface="맑은 고딕"/>
            </a:rPr>
            <a:pPr algn="r"/>
            <a:t>2026년</a:t>
          </a:fld>
          <a:endParaRPr lang="en-US" altLang="ko-KR" sz="1400" b="1" i="0" u="none" strike="noStrike">
            <a:solidFill>
              <a:srgbClr val="825142"/>
            </a:solidFill>
            <a:latin typeface="맑은 고딕"/>
            <a:ea typeface="맑은 고딕"/>
          </a:endParaRPr>
        </a:p>
      </xdr:txBody>
    </xdr:sp>
    <xdr:clientData fPrintsWithSheet="0"/>
  </xdr:twoCellAnchor>
  <xdr:twoCellAnchor editAs="absolute">
    <xdr:from>
      <xdr:col>2</xdr:col>
      <xdr:colOff>760023</xdr:colOff>
      <xdr:row>2</xdr:row>
      <xdr:rowOff>34865</xdr:rowOff>
    </xdr:from>
    <xdr:to>
      <xdr:col>2</xdr:col>
      <xdr:colOff>1048023</xdr:colOff>
      <xdr:row>2</xdr:row>
      <xdr:rowOff>322865</xdr:rowOff>
    </xdr:to>
    <xdr:grpSp>
      <xdr:nvGrpSpPr>
        <xdr:cNvPr id="62" name="grp2_2">
          <a:extLst>
            <a:ext uri="{FF2B5EF4-FFF2-40B4-BE49-F238E27FC236}">
              <a16:creationId xmlns:a16="http://schemas.microsoft.com/office/drawing/2014/main" id="{AA200325-9E9A-4A4B-B8C2-AAEA7526D0F5}"/>
            </a:ext>
          </a:extLst>
        </xdr:cNvPr>
        <xdr:cNvGrpSpPr/>
      </xdr:nvGrpSpPr>
      <xdr:grpSpPr>
        <a:xfrm>
          <a:off x="1533229" y="617571"/>
          <a:ext cx="288000" cy="288000"/>
          <a:chOff x="7658100" y="4695825"/>
          <a:chExt cx="396000" cy="396000"/>
        </a:xfrm>
        <a:effectLst>
          <a:outerShdw blurRad="50800" dist="38100" dir="2700000" algn="tl" rotWithShape="0">
            <a:schemeClr val="tx1">
              <a:lumMod val="50000"/>
              <a:lumOff val="50000"/>
              <a:alpha val="40000"/>
            </a:schemeClr>
          </a:outerShdw>
        </a:effectLst>
      </xdr:grpSpPr>
      <xdr:sp macro="[0]!Table_Minus" textlink="">
        <xdr:nvSpPr>
          <xdr:cNvPr id="63" name="타원 62">
            <a:extLst>
              <a:ext uri="{FF2B5EF4-FFF2-40B4-BE49-F238E27FC236}">
                <a16:creationId xmlns:a16="http://schemas.microsoft.com/office/drawing/2014/main" id="{7CA7F56C-016F-47E3-9065-C862C7BFA88E}"/>
              </a:ext>
            </a:extLst>
          </xdr:cNvPr>
          <xdr:cNvSpPr/>
        </xdr:nvSpPr>
        <xdr:spPr>
          <a:xfrm>
            <a:off x="7658100" y="4695825"/>
            <a:ext cx="396000" cy="396000"/>
          </a:xfrm>
          <a:prstGeom prst="ellipse">
            <a:avLst/>
          </a:prstGeom>
          <a:gradFill>
            <a:gsLst>
              <a:gs pos="0">
                <a:srgbClr val="C00000"/>
              </a:gs>
              <a:gs pos="100000">
                <a:srgbClr val="D64E4E"/>
              </a:gs>
            </a:gsLst>
            <a:lin ang="16200000" scaled="1"/>
          </a:gradFill>
          <a:ln w="12700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Table_Minus">
        <xdr:nvPicPr>
          <xdr:cNvPr id="64" name="그래픽 63" descr="사용자">
            <a:extLst>
              <a:ext uri="{FF2B5EF4-FFF2-40B4-BE49-F238E27FC236}">
                <a16:creationId xmlns:a16="http://schemas.microsoft.com/office/drawing/2014/main" id="{86C1BE29-3614-4E97-BE4B-1019F7F5DC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677150" y="4733925"/>
            <a:ext cx="323850" cy="323850"/>
          </a:xfrm>
          <a:prstGeom prst="rect">
            <a:avLst/>
          </a:prstGeom>
        </xdr:spPr>
      </xdr:pic>
      <xdr:sp macro="[0]!Table_Minus" textlink="">
        <xdr:nvSpPr>
          <xdr:cNvPr id="65" name="직사각형 64">
            <a:extLst>
              <a:ext uri="{FF2B5EF4-FFF2-40B4-BE49-F238E27FC236}">
                <a16:creationId xmlns:a16="http://schemas.microsoft.com/office/drawing/2014/main" id="{906542F3-DE12-47B6-A033-578D20956333}"/>
              </a:ext>
            </a:extLst>
          </xdr:cNvPr>
          <xdr:cNvSpPr/>
        </xdr:nvSpPr>
        <xdr:spPr>
          <a:xfrm>
            <a:off x="7915274" y="4819650"/>
            <a:ext cx="108000" cy="360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 fPrintsWithSheet="0"/>
  </xdr:twoCellAnchor>
  <xdr:twoCellAnchor editAs="absolute">
    <xdr:from>
      <xdr:col>2</xdr:col>
      <xdr:colOff>381000</xdr:colOff>
      <xdr:row>2</xdr:row>
      <xdr:rowOff>28576</xdr:rowOff>
    </xdr:from>
    <xdr:to>
      <xdr:col>2</xdr:col>
      <xdr:colOff>669000</xdr:colOff>
      <xdr:row>2</xdr:row>
      <xdr:rowOff>316576</xdr:rowOff>
    </xdr:to>
    <xdr:grpSp>
      <xdr:nvGrpSpPr>
        <xdr:cNvPr id="66" name="grp2_1">
          <a:extLst>
            <a:ext uri="{FF2B5EF4-FFF2-40B4-BE49-F238E27FC236}">
              <a16:creationId xmlns:a16="http://schemas.microsoft.com/office/drawing/2014/main" id="{77AFA4F7-368E-42AF-93FE-618E852E9A20}"/>
            </a:ext>
          </a:extLst>
        </xdr:cNvPr>
        <xdr:cNvGrpSpPr/>
      </xdr:nvGrpSpPr>
      <xdr:grpSpPr>
        <a:xfrm>
          <a:off x="1154206" y="611282"/>
          <a:ext cx="288000" cy="288000"/>
          <a:chOff x="6638925" y="4695825"/>
          <a:chExt cx="396000" cy="396000"/>
        </a:xfrm>
        <a:effectLst>
          <a:outerShdw blurRad="50800" dist="38100" dir="2700000" algn="tl" rotWithShape="0">
            <a:schemeClr val="tx1">
              <a:lumMod val="50000"/>
              <a:lumOff val="50000"/>
              <a:alpha val="40000"/>
            </a:schemeClr>
          </a:outerShdw>
        </a:effectLst>
      </xdr:grpSpPr>
      <xdr:sp macro="[0]!Table_Add" textlink="">
        <xdr:nvSpPr>
          <xdr:cNvPr id="67" name="타원 66">
            <a:extLst>
              <a:ext uri="{FF2B5EF4-FFF2-40B4-BE49-F238E27FC236}">
                <a16:creationId xmlns:a16="http://schemas.microsoft.com/office/drawing/2014/main" id="{601F3791-38B1-4080-A520-D6A6BD3D11D5}"/>
              </a:ext>
            </a:extLst>
          </xdr:cNvPr>
          <xdr:cNvSpPr/>
        </xdr:nvSpPr>
        <xdr:spPr>
          <a:xfrm>
            <a:off x="6638925" y="4695825"/>
            <a:ext cx="396000" cy="396000"/>
          </a:xfrm>
          <a:prstGeom prst="ellipse">
            <a:avLst/>
          </a:prstGeom>
          <a:gradFill>
            <a:gsLst>
              <a:gs pos="70000">
                <a:schemeClr val="accent1">
                  <a:lumMod val="75000"/>
                </a:schemeClr>
              </a:gs>
              <a:gs pos="0">
                <a:srgbClr val="213B68"/>
              </a:gs>
            </a:gsLst>
            <a:lin ang="16200000" scaled="1"/>
          </a:gradFill>
          <a:ln w="12700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Table_Add">
        <xdr:nvPicPr>
          <xdr:cNvPr id="68" name="그림 67">
            <a:extLst>
              <a:ext uri="{FF2B5EF4-FFF2-40B4-BE49-F238E27FC236}">
                <a16:creationId xmlns:a16="http://schemas.microsoft.com/office/drawing/2014/main" id="{6890F607-6B7A-45C8-BE8D-5FC60B248D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05600" y="4791075"/>
            <a:ext cx="288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12</xdr:col>
      <xdr:colOff>145571</xdr:colOff>
      <xdr:row>2</xdr:row>
      <xdr:rowOff>9525</xdr:rowOff>
    </xdr:from>
    <xdr:to>
      <xdr:col>12</xdr:col>
      <xdr:colOff>469571</xdr:colOff>
      <xdr:row>3</xdr:row>
      <xdr:rowOff>150</xdr:rowOff>
    </xdr:to>
    <xdr:grpSp>
      <xdr:nvGrpSpPr>
        <xdr:cNvPr id="24" name="grp2_7">
          <a:extLst>
            <a:ext uri="{FF2B5EF4-FFF2-40B4-BE49-F238E27FC236}">
              <a16:creationId xmlns:a16="http://schemas.microsoft.com/office/drawing/2014/main" id="{0EBAE618-1173-413E-973C-22CF8D9C2264}"/>
            </a:ext>
          </a:extLst>
        </xdr:cNvPr>
        <xdr:cNvGrpSpPr/>
      </xdr:nvGrpSpPr>
      <xdr:grpSpPr>
        <a:xfrm>
          <a:off x="10130012" y="592231"/>
          <a:ext cx="324000" cy="326801"/>
          <a:chOff x="10099196" y="581025"/>
          <a:chExt cx="324000" cy="324000"/>
        </a:xfrm>
      </xdr:grpSpPr>
      <xdr:sp macro="[0]!Renew_Sh2_Open" textlink="">
        <xdr:nvSpPr>
          <xdr:cNvPr id="70" name="타원 69">
            <a:extLst>
              <a:ext uri="{FF2B5EF4-FFF2-40B4-BE49-F238E27FC236}">
                <a16:creationId xmlns:a16="http://schemas.microsoft.com/office/drawing/2014/main" id="{AE350AAB-4B0C-4A4E-AFF2-2A0D456DD4AB}"/>
              </a:ext>
            </a:extLst>
          </xdr:cNvPr>
          <xdr:cNvSpPr/>
        </xdr:nvSpPr>
        <xdr:spPr>
          <a:xfrm>
            <a:off x="10099196" y="581025"/>
            <a:ext cx="324000" cy="324000"/>
          </a:xfrm>
          <a:prstGeom prst="ellipse">
            <a:avLst/>
          </a:prstGeom>
          <a:solidFill>
            <a:srgbClr val="F8F8F8"/>
          </a:solidFill>
          <a:ln w="12700">
            <a:solidFill>
              <a:srgbClr val="825142"/>
            </a:solidFill>
          </a:ln>
          <a:effectLst>
            <a:outerShdw blurRad="50800" dist="38100" dir="2700000" algn="tl" rotWithShape="0">
              <a:schemeClr val="tx1">
                <a:lumMod val="50000"/>
                <a:lumOff val="5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Renew_Sh2_Open">
        <xdr:nvPicPr>
          <xdr:cNvPr id="71" name="btn_Re" descr="새로 고침">
            <a:extLst>
              <a:ext uri="{FF2B5EF4-FFF2-40B4-BE49-F238E27FC236}">
                <a16:creationId xmlns:a16="http://schemas.microsoft.com/office/drawing/2014/main" id="{8CC30D21-0E66-4B76-8214-639F94D83B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 rot="5400000">
            <a:off x="10114975" y="602330"/>
            <a:ext cx="282860" cy="285120"/>
          </a:xfrm>
          <a:prstGeom prst="rect">
            <a:avLst/>
          </a:prstGeom>
          <a:effectLst>
            <a:innerShdw blurRad="63500" dist="50800" dir="10800000">
              <a:prstClr val="black">
                <a:alpha val="50000"/>
              </a:prstClr>
            </a:innerShdw>
          </a:effectLst>
        </xdr:spPr>
      </xdr:pic>
    </xdr:grpSp>
    <xdr:clientData fPrintsWithSheet="0"/>
  </xdr:twoCellAnchor>
  <xdr:twoCellAnchor editAs="absolute">
    <xdr:from>
      <xdr:col>5</xdr:col>
      <xdr:colOff>411193</xdr:colOff>
      <xdr:row>1</xdr:row>
      <xdr:rowOff>91115</xdr:rowOff>
    </xdr:from>
    <xdr:to>
      <xdr:col>6</xdr:col>
      <xdr:colOff>704324</xdr:colOff>
      <xdr:row>2</xdr:row>
      <xdr:rowOff>319865</xdr:rowOff>
    </xdr:to>
    <xdr:grpSp>
      <xdr:nvGrpSpPr>
        <xdr:cNvPr id="5" name="grp2_4">
          <a:extLst>
            <a:ext uri="{FF2B5EF4-FFF2-40B4-BE49-F238E27FC236}">
              <a16:creationId xmlns:a16="http://schemas.microsoft.com/office/drawing/2014/main" id="{6CB24762-3A84-4921-ACF4-813DC2C10B6D}"/>
            </a:ext>
          </a:extLst>
        </xdr:cNvPr>
        <xdr:cNvGrpSpPr/>
      </xdr:nvGrpSpPr>
      <xdr:grpSpPr>
        <a:xfrm>
          <a:off x="3952252" y="572968"/>
          <a:ext cx="1200807" cy="329603"/>
          <a:chOff x="5373718" y="3824915"/>
          <a:chExt cx="1198006" cy="324000"/>
        </a:xfrm>
      </xdr:grpSpPr>
      <xdr:sp macro="[0]!Enter_Sh3_Open" textlink="">
        <xdr:nvSpPr>
          <xdr:cNvPr id="14" name="TextBox 13">
            <a:extLst>
              <a:ext uri="{FF2B5EF4-FFF2-40B4-BE49-F238E27FC236}">
                <a16:creationId xmlns:a16="http://schemas.microsoft.com/office/drawing/2014/main" id="{CA2AFE0D-74B8-4D9F-B707-A2619A948882}"/>
              </a:ext>
            </a:extLst>
          </xdr:cNvPr>
          <xdr:cNvSpPr txBox="1"/>
        </xdr:nvSpPr>
        <xdr:spPr>
          <a:xfrm>
            <a:off x="5419724" y="3848100"/>
            <a:ext cx="1152000" cy="288000"/>
          </a:xfrm>
          <a:prstGeom prst="rect">
            <a:avLst/>
          </a:prstGeom>
          <a:noFill/>
          <a:ln w="9525" cmpd="sng">
            <a:noFill/>
          </a:ln>
          <a:effectLst>
            <a:outerShdw blurRad="50800" dist="38100" dir="2700000" algn="tl" rotWithShape="0">
              <a:schemeClr val="tx1">
                <a:lumMod val="50000"/>
                <a:lumOff val="50000"/>
                <a:alpha val="40000"/>
              </a:scheme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ko-KR" altLang="en-US" sz="900" b="1">
                <a:solidFill>
                  <a:srgbClr val="825142"/>
                </a:solidFill>
              </a:rPr>
              <a:t>휴가</a:t>
            </a:r>
            <a:r>
              <a:rPr lang="en-US" altLang="ko-KR" sz="900" b="1">
                <a:solidFill>
                  <a:srgbClr val="825142"/>
                </a:solidFill>
              </a:rPr>
              <a:t>/</a:t>
            </a:r>
            <a:r>
              <a:rPr lang="ko-KR" altLang="en-US" sz="900" b="1">
                <a:solidFill>
                  <a:srgbClr val="825142"/>
                </a:solidFill>
              </a:rPr>
              <a:t>연차사용</a:t>
            </a:r>
          </a:p>
        </xdr:txBody>
      </xdr:sp>
      <xdr:sp macro="[0]!Enter_Sh3_Open" textlink="">
        <xdr:nvSpPr>
          <xdr:cNvPr id="100" name="타원 99">
            <a:extLst>
              <a:ext uri="{FF2B5EF4-FFF2-40B4-BE49-F238E27FC236}">
                <a16:creationId xmlns:a16="http://schemas.microsoft.com/office/drawing/2014/main" id="{51AF12B9-B912-4E7D-8CEC-7560322702DD}"/>
              </a:ext>
            </a:extLst>
          </xdr:cNvPr>
          <xdr:cNvSpPr/>
        </xdr:nvSpPr>
        <xdr:spPr>
          <a:xfrm>
            <a:off x="5373718" y="3824915"/>
            <a:ext cx="324000" cy="324000"/>
          </a:xfrm>
          <a:prstGeom prst="ellipse">
            <a:avLst/>
          </a:prstGeom>
          <a:gradFill>
            <a:gsLst>
              <a:gs pos="50000">
                <a:srgbClr val="825142"/>
              </a:gs>
              <a:gs pos="100000">
                <a:srgbClr val="AA6E5A"/>
              </a:gs>
            </a:gsLst>
            <a:lin ang="5400000" scaled="1"/>
          </a:gradFill>
          <a:ln w="12700">
            <a:solidFill>
              <a:srgbClr val="825142"/>
            </a:solidFill>
          </a:ln>
          <a:effectLst>
            <a:outerShdw blurRad="50800" dist="38100" dir="2700000" algn="tl" rotWithShape="0">
              <a:schemeClr val="tx1">
                <a:lumMod val="50000"/>
                <a:lumOff val="5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Enter_Sh3_Open">
        <xdr:nvPicPr>
          <xdr:cNvPr id="101" name="그래픽 100" descr="하루 일정">
            <a:extLst>
              <a:ext uri="{FF2B5EF4-FFF2-40B4-BE49-F238E27FC236}">
                <a16:creationId xmlns:a16="http://schemas.microsoft.com/office/drawing/2014/main" id="{EE7FB8FB-58F0-406A-A94D-DD5A1146D4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388977" y="3828378"/>
            <a:ext cx="291152" cy="3096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6</xdr:col>
      <xdr:colOff>782668</xdr:colOff>
      <xdr:row>1</xdr:row>
      <xdr:rowOff>85725</xdr:rowOff>
    </xdr:from>
    <xdr:to>
      <xdr:col>7</xdr:col>
      <xdr:colOff>1080003</xdr:colOff>
      <xdr:row>2</xdr:row>
      <xdr:rowOff>319865</xdr:rowOff>
    </xdr:to>
    <xdr:grpSp>
      <xdr:nvGrpSpPr>
        <xdr:cNvPr id="7" name="grp2_5">
          <a:extLst>
            <a:ext uri="{FF2B5EF4-FFF2-40B4-BE49-F238E27FC236}">
              <a16:creationId xmlns:a16="http://schemas.microsoft.com/office/drawing/2014/main" id="{68DD1BF4-C9A4-4A9C-87AC-DC744536D709}"/>
            </a:ext>
          </a:extLst>
        </xdr:cNvPr>
        <xdr:cNvGrpSpPr/>
      </xdr:nvGrpSpPr>
      <xdr:grpSpPr>
        <a:xfrm>
          <a:off x="5231403" y="567578"/>
          <a:ext cx="1160188" cy="334993"/>
          <a:chOff x="7135843" y="2314575"/>
          <a:chExt cx="1154585" cy="329390"/>
        </a:xfrm>
      </xdr:grpSpPr>
      <xdr:sp macro="[0]!Enter_Sh4_Open" textlink="">
        <xdr:nvSpPr>
          <xdr:cNvPr id="12" name="TextBox 11">
            <a:extLst>
              <a:ext uri="{FF2B5EF4-FFF2-40B4-BE49-F238E27FC236}">
                <a16:creationId xmlns:a16="http://schemas.microsoft.com/office/drawing/2014/main" id="{B05CB973-AFFD-41A0-97AA-C669A3CA8591}"/>
              </a:ext>
            </a:extLst>
          </xdr:cNvPr>
          <xdr:cNvSpPr txBox="1"/>
        </xdr:nvSpPr>
        <xdr:spPr>
          <a:xfrm>
            <a:off x="7210428" y="2352675"/>
            <a:ext cx="1080000" cy="288000"/>
          </a:xfrm>
          <a:prstGeom prst="rect">
            <a:avLst/>
          </a:prstGeom>
          <a:noFill/>
          <a:ln w="9525" cmpd="sng">
            <a:noFill/>
          </a:ln>
          <a:effectLst>
            <a:outerShdw blurRad="50800" dist="38100" dir="2700000" algn="tl" rotWithShape="0">
              <a:schemeClr val="tx1">
                <a:lumMod val="50000"/>
                <a:lumOff val="50000"/>
                <a:alpha val="40000"/>
              </a:scheme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ko-KR" altLang="en-US" sz="900" b="1">
                <a:solidFill>
                  <a:srgbClr val="825142"/>
                </a:solidFill>
              </a:rPr>
              <a:t>연차수당지급</a:t>
            </a:r>
          </a:p>
        </xdr:txBody>
      </xdr:sp>
      <xdr:sp macro="[0]!Enter_Sh4_Open" textlink="">
        <xdr:nvSpPr>
          <xdr:cNvPr id="106" name="타원 105">
            <a:extLst>
              <a:ext uri="{FF2B5EF4-FFF2-40B4-BE49-F238E27FC236}">
                <a16:creationId xmlns:a16="http://schemas.microsoft.com/office/drawing/2014/main" id="{EB68BFB4-7C6C-4AEC-B16D-D3737298BA37}"/>
              </a:ext>
            </a:extLst>
          </xdr:cNvPr>
          <xdr:cNvSpPr/>
        </xdr:nvSpPr>
        <xdr:spPr>
          <a:xfrm>
            <a:off x="7135843" y="2319965"/>
            <a:ext cx="324000" cy="324000"/>
          </a:xfrm>
          <a:prstGeom prst="ellipse">
            <a:avLst/>
          </a:prstGeom>
          <a:gradFill>
            <a:gsLst>
              <a:gs pos="50000">
                <a:srgbClr val="825142"/>
              </a:gs>
              <a:gs pos="100000">
                <a:srgbClr val="AA6E5A"/>
              </a:gs>
            </a:gsLst>
            <a:lin ang="5400000" scaled="1"/>
          </a:gradFill>
          <a:ln w="12700">
            <a:solidFill>
              <a:srgbClr val="825142"/>
            </a:solidFill>
          </a:ln>
          <a:effectLst>
            <a:outerShdw blurRad="50800" dist="38100" dir="2700000" algn="tl" rotWithShape="0">
              <a:schemeClr val="tx1">
                <a:lumMod val="50000"/>
                <a:lumOff val="5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Enter_Sh4_Open" textlink="">
        <xdr:nvSpPr>
          <xdr:cNvPr id="104" name="TextBox 103">
            <a:extLst>
              <a:ext uri="{FF2B5EF4-FFF2-40B4-BE49-F238E27FC236}">
                <a16:creationId xmlns:a16="http://schemas.microsoft.com/office/drawing/2014/main" id="{A42024F1-8804-4ECF-B370-576588DBDAA2}"/>
              </a:ext>
            </a:extLst>
          </xdr:cNvPr>
          <xdr:cNvSpPr txBox="1"/>
        </xdr:nvSpPr>
        <xdr:spPr>
          <a:xfrm>
            <a:off x="7138537" y="2314575"/>
            <a:ext cx="324000" cy="324000"/>
          </a:xfrm>
          <a:prstGeom prst="rect">
            <a:avLst/>
          </a:prstGeom>
          <a:noFill/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1800" b="1">
                <a:solidFill>
                  <a:schemeClr val="bg1"/>
                </a:solidFill>
              </a:rPr>
              <a:t>￦</a:t>
            </a:r>
          </a:p>
        </xdr:txBody>
      </xdr:sp>
    </xdr:grpSp>
    <xdr:clientData fPrintsWithSheet="0"/>
  </xdr:twoCellAnchor>
  <xdr:twoCellAnchor editAs="absolute">
    <xdr:from>
      <xdr:col>7</xdr:col>
      <xdr:colOff>1163668</xdr:colOff>
      <xdr:row>1</xdr:row>
      <xdr:rowOff>91115</xdr:rowOff>
    </xdr:from>
    <xdr:to>
      <xdr:col>8</xdr:col>
      <xdr:colOff>746625</xdr:colOff>
      <xdr:row>2</xdr:row>
      <xdr:rowOff>319865</xdr:rowOff>
    </xdr:to>
    <xdr:grpSp>
      <xdr:nvGrpSpPr>
        <xdr:cNvPr id="17" name="grp2_6">
          <a:extLst>
            <a:ext uri="{FF2B5EF4-FFF2-40B4-BE49-F238E27FC236}">
              <a16:creationId xmlns:a16="http://schemas.microsoft.com/office/drawing/2014/main" id="{0B4413E1-4BD0-4943-9781-6BC665381106}"/>
            </a:ext>
          </a:extLst>
        </xdr:cNvPr>
        <xdr:cNvGrpSpPr/>
      </xdr:nvGrpSpPr>
      <xdr:grpSpPr>
        <a:xfrm>
          <a:off x="6475256" y="572968"/>
          <a:ext cx="1207810" cy="329603"/>
          <a:chOff x="8526493" y="3834440"/>
          <a:chExt cx="1202207" cy="324000"/>
        </a:xfrm>
      </xdr:grpSpPr>
      <xdr:sp macro="[0]!Enter_Sh5_Open" textlink="">
        <xdr:nvSpPr>
          <xdr:cNvPr id="3" name="직사각형 2">
            <a:extLst>
              <a:ext uri="{FF2B5EF4-FFF2-40B4-BE49-F238E27FC236}">
                <a16:creationId xmlns:a16="http://schemas.microsoft.com/office/drawing/2014/main" id="{C25B4D1C-9F30-4FB1-BD15-020ECF0CA8C8}"/>
              </a:ext>
            </a:extLst>
          </xdr:cNvPr>
          <xdr:cNvSpPr/>
        </xdr:nvSpPr>
        <xdr:spPr>
          <a:xfrm>
            <a:off x="8648700" y="3867150"/>
            <a:ext cx="1080000" cy="288000"/>
          </a:xfrm>
          <a:prstGeom prst="rect">
            <a:avLst/>
          </a:prstGeom>
          <a:noFill/>
          <a:ln>
            <a:noFill/>
          </a:ln>
          <a:effectLst>
            <a:outerShdw blurRad="50800" dist="38100" dir="2700000" algn="tl" rotWithShape="0">
              <a:schemeClr val="tx1">
                <a:lumMod val="50000"/>
                <a:lumOff val="5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ko-KR" altLang="en-US" sz="900" b="1">
                <a:solidFill>
                  <a:srgbClr val="825142"/>
                </a:solidFill>
              </a:rPr>
              <a:t>연차추가</a:t>
            </a:r>
            <a:r>
              <a:rPr lang="en-US" altLang="ko-KR" sz="900" b="1">
                <a:solidFill>
                  <a:srgbClr val="825142"/>
                </a:solidFill>
              </a:rPr>
              <a:t>/</a:t>
            </a:r>
            <a:r>
              <a:rPr lang="ko-KR" altLang="en-US" sz="900" b="1">
                <a:solidFill>
                  <a:srgbClr val="825142"/>
                </a:solidFill>
              </a:rPr>
              <a:t>공제</a:t>
            </a:r>
          </a:p>
        </xdr:txBody>
      </xdr:sp>
      <xdr:sp macro="[0]!Enter_Sh5_Open" textlink="">
        <xdr:nvSpPr>
          <xdr:cNvPr id="114" name="타원 113">
            <a:extLst>
              <a:ext uri="{FF2B5EF4-FFF2-40B4-BE49-F238E27FC236}">
                <a16:creationId xmlns:a16="http://schemas.microsoft.com/office/drawing/2014/main" id="{6C54B647-810D-4E11-8970-8B8F89D5A01C}"/>
              </a:ext>
            </a:extLst>
          </xdr:cNvPr>
          <xdr:cNvSpPr/>
        </xdr:nvSpPr>
        <xdr:spPr>
          <a:xfrm>
            <a:off x="8526493" y="3834440"/>
            <a:ext cx="324000" cy="324000"/>
          </a:xfrm>
          <a:prstGeom prst="ellipse">
            <a:avLst/>
          </a:prstGeom>
          <a:gradFill>
            <a:gsLst>
              <a:gs pos="50000">
                <a:srgbClr val="825142"/>
              </a:gs>
              <a:gs pos="100000">
                <a:srgbClr val="AA6E5A"/>
              </a:gs>
            </a:gsLst>
            <a:lin ang="5400000" scaled="1"/>
          </a:gradFill>
          <a:ln w="12700">
            <a:solidFill>
              <a:srgbClr val="825142"/>
            </a:solidFill>
          </a:ln>
          <a:effectLst>
            <a:outerShdw blurRad="50800" dist="38100" dir="2700000" algn="tl" rotWithShape="0">
              <a:schemeClr val="tx1">
                <a:lumMod val="50000"/>
                <a:lumOff val="5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grpSp>
        <xdr:nvGrpSpPr>
          <xdr:cNvPr id="109" name="그룹 108">
            <a:extLst>
              <a:ext uri="{FF2B5EF4-FFF2-40B4-BE49-F238E27FC236}">
                <a16:creationId xmlns:a16="http://schemas.microsoft.com/office/drawing/2014/main" id="{5BFB330D-8DE1-48D5-AC32-6FBA0E351417}"/>
              </a:ext>
            </a:extLst>
          </xdr:cNvPr>
          <xdr:cNvGrpSpPr/>
        </xdr:nvGrpSpPr>
        <xdr:grpSpPr>
          <a:xfrm>
            <a:off x="8542543" y="3874511"/>
            <a:ext cx="288000" cy="252000"/>
            <a:chOff x="7093665" y="4158644"/>
            <a:chExt cx="299483" cy="240947"/>
          </a:xfrm>
          <a:solidFill>
            <a:schemeClr val="bg1"/>
          </a:solidFill>
        </xdr:grpSpPr>
        <xdr:sp macro="[0]!Enter_Sh5_Open" textlink="">
          <xdr:nvSpPr>
            <xdr:cNvPr id="110" name="더하기 기호 109">
              <a:extLst>
                <a:ext uri="{FF2B5EF4-FFF2-40B4-BE49-F238E27FC236}">
                  <a16:creationId xmlns:a16="http://schemas.microsoft.com/office/drawing/2014/main" id="{619F2956-BBB6-4AFE-BE58-A0B15B3A5F9C}"/>
                </a:ext>
              </a:extLst>
            </xdr:cNvPr>
            <xdr:cNvSpPr/>
          </xdr:nvSpPr>
          <xdr:spPr>
            <a:xfrm>
              <a:off x="7093665" y="4158644"/>
              <a:ext cx="162000" cy="160716"/>
            </a:xfrm>
            <a:prstGeom prst="mathPlus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>
                <a:solidFill>
                  <a:schemeClr val="bg1"/>
                </a:solidFill>
              </a:endParaRPr>
            </a:p>
          </xdr:txBody>
        </xdr:sp>
        <xdr:sp macro="[0]!Enter_Sh5_Open" textlink="">
          <xdr:nvSpPr>
            <xdr:cNvPr id="111" name="빼기 기호 110">
              <a:extLst>
                <a:ext uri="{FF2B5EF4-FFF2-40B4-BE49-F238E27FC236}">
                  <a16:creationId xmlns:a16="http://schemas.microsoft.com/office/drawing/2014/main" id="{2A344D10-7439-40A0-A1B5-E2C910FF2941}"/>
                </a:ext>
              </a:extLst>
            </xdr:cNvPr>
            <xdr:cNvSpPr/>
          </xdr:nvSpPr>
          <xdr:spPr>
            <a:xfrm>
              <a:off x="7231148" y="4238875"/>
              <a:ext cx="162000" cy="160716"/>
            </a:xfrm>
            <a:prstGeom prst="mathMinus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>
                <a:solidFill>
                  <a:schemeClr val="bg1"/>
                </a:solidFill>
              </a:endParaRPr>
            </a:p>
          </xdr:txBody>
        </xdr:sp>
        <xdr:sp macro="[0]!Enter_Sh5_Open" textlink="">
          <xdr:nvSpPr>
            <xdr:cNvPr id="112" name="대각선 줄무늬 111">
              <a:extLst>
                <a:ext uri="{FF2B5EF4-FFF2-40B4-BE49-F238E27FC236}">
                  <a16:creationId xmlns:a16="http://schemas.microsoft.com/office/drawing/2014/main" id="{A185FB2E-26E3-4628-877F-762D602F2214}"/>
                </a:ext>
              </a:extLst>
            </xdr:cNvPr>
            <xdr:cNvSpPr/>
          </xdr:nvSpPr>
          <xdr:spPr>
            <a:xfrm rot="20653382">
              <a:off x="7166449" y="4206783"/>
              <a:ext cx="162000" cy="160716"/>
            </a:xfrm>
            <a:prstGeom prst="diagStripe">
              <a:avLst>
                <a:gd name="adj" fmla="val 93239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>
                <a:solidFill>
                  <a:schemeClr val="bg1"/>
                </a:solidFill>
              </a:endParaRPr>
            </a:p>
          </xdr:txBody>
        </xdr:sp>
      </xdr:grpSp>
    </xdr:grpSp>
    <xdr:clientData fPrintsWithSheet="0"/>
  </xdr:twoCellAnchor>
  <xdr:twoCellAnchor editAs="absolute">
    <xdr:from>
      <xdr:col>3</xdr:col>
      <xdr:colOff>609600</xdr:colOff>
      <xdr:row>2</xdr:row>
      <xdr:rowOff>0</xdr:rowOff>
    </xdr:from>
    <xdr:to>
      <xdr:col>4</xdr:col>
      <xdr:colOff>171600</xdr:colOff>
      <xdr:row>2</xdr:row>
      <xdr:rowOff>324000</xdr:rowOff>
    </xdr:to>
    <xdr:grpSp>
      <xdr:nvGrpSpPr>
        <xdr:cNvPr id="18" name="grp2_3">
          <a:extLst>
            <a:ext uri="{FF2B5EF4-FFF2-40B4-BE49-F238E27FC236}">
              <a16:creationId xmlns:a16="http://schemas.microsoft.com/office/drawing/2014/main" id="{069FC6BA-9004-4C04-A36D-E598504B933F}"/>
            </a:ext>
          </a:extLst>
        </xdr:cNvPr>
        <xdr:cNvGrpSpPr/>
      </xdr:nvGrpSpPr>
      <xdr:grpSpPr>
        <a:xfrm>
          <a:off x="2525806" y="582706"/>
          <a:ext cx="324000" cy="324000"/>
          <a:chOff x="2552700" y="571500"/>
          <a:chExt cx="324000" cy="324000"/>
        </a:xfrm>
      </xdr:grpSpPr>
      <xdr:sp macro="[0]!sh2_Year_Open" textlink="">
        <xdr:nvSpPr>
          <xdr:cNvPr id="116" name="타원 115">
            <a:extLst>
              <a:ext uri="{FF2B5EF4-FFF2-40B4-BE49-F238E27FC236}">
                <a16:creationId xmlns:a16="http://schemas.microsoft.com/office/drawing/2014/main" id="{F7ADA5A6-C9FF-44AA-A1CE-6DF103EDD5DF}"/>
              </a:ext>
            </a:extLst>
          </xdr:cNvPr>
          <xdr:cNvSpPr/>
        </xdr:nvSpPr>
        <xdr:spPr>
          <a:xfrm>
            <a:off x="2552700" y="571500"/>
            <a:ext cx="324000" cy="324000"/>
          </a:xfrm>
          <a:prstGeom prst="ellipse">
            <a:avLst/>
          </a:prstGeom>
          <a:solidFill>
            <a:srgbClr val="F8F8F8"/>
          </a:solidFill>
          <a:ln w="12700">
            <a:solidFill>
              <a:srgbClr val="825142"/>
            </a:solidFill>
          </a:ln>
          <a:effectLst>
            <a:outerShdw blurRad="50800" dist="38100" dir="2700000" algn="tl" rotWithShape="0">
              <a:schemeClr val="tx1">
                <a:lumMod val="50000"/>
                <a:lumOff val="5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2_Year_Open">
        <xdr:nvPicPr>
          <xdr:cNvPr id="117" name="그래픽 116" descr="플립 달력">
            <a:extLst>
              <a:ext uri="{FF2B5EF4-FFF2-40B4-BE49-F238E27FC236}">
                <a16:creationId xmlns:a16="http://schemas.microsoft.com/office/drawing/2014/main" id="{579451C4-6E4F-4FF1-91A1-6A6FEE88D2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571210" y="577252"/>
            <a:ext cx="295200" cy="295200"/>
          </a:xfrm>
          <a:prstGeom prst="rect">
            <a:avLst/>
          </a:prstGeom>
          <a:effectLst>
            <a:innerShdw blurRad="63500" dist="50800" dir="8100000">
              <a:srgbClr val="452B23">
                <a:alpha val="49804"/>
              </a:srgbClr>
            </a:innerShdw>
          </a:effectLst>
        </xdr:spPr>
      </xdr:pic>
    </xdr:grpSp>
    <xdr:clientData fPrintsWithSheet="0"/>
  </xdr:twoCellAnchor>
  <xdr:twoCellAnchor editAs="absolute">
    <xdr:from>
      <xdr:col>28</xdr:col>
      <xdr:colOff>447675</xdr:colOff>
      <xdr:row>2</xdr:row>
      <xdr:rowOff>9525</xdr:rowOff>
    </xdr:from>
    <xdr:to>
      <xdr:col>28</xdr:col>
      <xdr:colOff>771675</xdr:colOff>
      <xdr:row>3</xdr:row>
      <xdr:rowOff>150</xdr:rowOff>
    </xdr:to>
    <xdr:grpSp>
      <xdr:nvGrpSpPr>
        <xdr:cNvPr id="118" name="grp2_8">
          <a:extLst>
            <a:ext uri="{FF2B5EF4-FFF2-40B4-BE49-F238E27FC236}">
              <a16:creationId xmlns:a16="http://schemas.microsoft.com/office/drawing/2014/main" id="{BCD4019C-334D-45E7-A5ED-B296448DC5AA}"/>
            </a:ext>
          </a:extLst>
        </xdr:cNvPr>
        <xdr:cNvGrpSpPr/>
      </xdr:nvGrpSpPr>
      <xdr:grpSpPr>
        <a:xfrm>
          <a:off x="18914969" y="592231"/>
          <a:ext cx="324000" cy="326801"/>
          <a:chOff x="8123207" y="260589"/>
          <a:chExt cx="360000" cy="362876"/>
        </a:xfrm>
        <a:effectLst>
          <a:outerShdw blurRad="50800" dist="38100" dir="2700000" algn="tl" rotWithShape="0">
            <a:schemeClr val="tx1">
              <a:lumMod val="50000"/>
              <a:lumOff val="50000"/>
              <a:alpha val="40000"/>
            </a:schemeClr>
          </a:outerShdw>
        </a:effectLst>
      </xdr:grpSpPr>
      <xdr:sp macro="[0]!Search_Sh7_Open" textlink="">
        <xdr:nvSpPr>
          <xdr:cNvPr id="119" name="타원 118">
            <a:extLst>
              <a:ext uri="{FF2B5EF4-FFF2-40B4-BE49-F238E27FC236}">
                <a16:creationId xmlns:a16="http://schemas.microsoft.com/office/drawing/2014/main" id="{6A824172-87D7-4D72-96E2-76A6732060AF}"/>
              </a:ext>
            </a:extLst>
          </xdr:cNvPr>
          <xdr:cNvSpPr/>
        </xdr:nvSpPr>
        <xdr:spPr>
          <a:xfrm>
            <a:off x="8123207" y="260589"/>
            <a:ext cx="360000" cy="362876"/>
          </a:xfrm>
          <a:prstGeom prst="ellipse">
            <a:avLst/>
          </a:prstGeom>
          <a:solidFill>
            <a:srgbClr val="F8F8F8"/>
          </a:solidFill>
          <a:ln w="12700">
            <a:solidFill>
              <a:srgbClr val="82514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earch_Sh7_Open">
        <xdr:nvPicPr>
          <xdr:cNvPr id="120" name="btn_S" descr="목표 대상 그룹">
            <a:extLst>
              <a:ext uri="{FF2B5EF4-FFF2-40B4-BE49-F238E27FC236}">
                <a16:creationId xmlns:a16="http://schemas.microsoft.com/office/drawing/2014/main" id="{5EEA3B5E-2A5E-42D8-AACC-DB68EE7108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8141180" y="291323"/>
            <a:ext cx="321809" cy="324000"/>
          </a:xfrm>
          <a:prstGeom prst="rect">
            <a:avLst/>
          </a:prstGeom>
          <a:effectLst>
            <a:innerShdw blurRad="63500" dist="50800" dir="10800000">
              <a:prstClr val="black">
                <a:alpha val="50000"/>
              </a:prstClr>
            </a:innerShdw>
          </a:effectLst>
        </xdr:spPr>
      </xdr:pic>
    </xdr:grpSp>
    <xdr:clientData fPrintsWithSheet="0"/>
  </xdr:twoCellAnchor>
  <xdr:twoCellAnchor editAs="absolute">
    <xdr:from>
      <xdr:col>29</xdr:col>
      <xdr:colOff>400054</xdr:colOff>
      <xdr:row>5</xdr:row>
      <xdr:rowOff>0</xdr:rowOff>
    </xdr:from>
    <xdr:to>
      <xdr:col>34</xdr:col>
      <xdr:colOff>658169</xdr:colOff>
      <xdr:row>15</xdr:row>
      <xdr:rowOff>171450</xdr:rowOff>
    </xdr:to>
    <xdr:grpSp>
      <xdr:nvGrpSpPr>
        <xdr:cNvPr id="9" name="info2_4">
          <a:extLst>
            <a:ext uri="{FF2B5EF4-FFF2-40B4-BE49-F238E27FC236}">
              <a16:creationId xmlns:a16="http://schemas.microsoft.com/office/drawing/2014/main" id="{FEB95FEB-7FCA-4943-8FF7-056EF3279230}"/>
            </a:ext>
          </a:extLst>
        </xdr:cNvPr>
        <xdr:cNvGrpSpPr/>
      </xdr:nvGrpSpPr>
      <xdr:grpSpPr>
        <a:xfrm>
          <a:off x="19920701" y="1120588"/>
          <a:ext cx="3900027" cy="2883274"/>
          <a:chOff x="19840579" y="1095375"/>
          <a:chExt cx="3915715" cy="2857500"/>
        </a:xfrm>
      </xdr:grpSpPr>
      <xdr:sp macro="" textlink="">
        <xdr:nvSpPr>
          <xdr:cNvPr id="92" name="직사각형 91">
            <a:extLst>
              <a:ext uri="{FF2B5EF4-FFF2-40B4-BE49-F238E27FC236}">
                <a16:creationId xmlns:a16="http://schemas.microsoft.com/office/drawing/2014/main" id="{8EB57EDB-CEC5-4FB8-BBC3-4FC63A1285DD}"/>
              </a:ext>
            </a:extLst>
          </xdr:cNvPr>
          <xdr:cNvSpPr/>
        </xdr:nvSpPr>
        <xdr:spPr>
          <a:xfrm>
            <a:off x="19840579" y="1095375"/>
            <a:ext cx="3914772" cy="2857500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altLang="ko-KR" sz="1100">
              <a:solidFill>
                <a:sysClr val="windowText" lastClr="000000"/>
              </a:solidFill>
              <a:latin typeface="+mn-ea"/>
              <a:ea typeface="+mn-ea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 오늘 날짜가 연차사용촉진 기간에 해당할 경우</a:t>
            </a:r>
            <a:r>
              <a:rPr lang="en-US" altLang="ko-KR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,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 아래와 같이 빨간색 글자와 안내창으로 알림 기능을 제공합니다</a:t>
            </a:r>
            <a:r>
              <a:rPr lang="en-US" altLang="ko-KR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.</a:t>
            </a:r>
            <a:endParaRPr lang="en-US" altLang="ko-KR" sz="900" baseline="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endParaRP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6051C4AF-B497-425C-ABC1-E6A198D255ED}"/>
              </a:ext>
            </a:extLst>
          </xdr:cNvPr>
          <xdr:cNvSpPr txBox="1"/>
        </xdr:nvSpPr>
        <xdr:spPr>
          <a:xfrm>
            <a:off x="19845465" y="1104901"/>
            <a:ext cx="3910829" cy="226800"/>
          </a:xfrm>
          <a:prstGeom prst="rect">
            <a:avLst/>
          </a:prstGeom>
          <a:gradFill flip="none" rotWithShape="1">
            <a:gsLst>
              <a:gs pos="0">
                <a:srgbClr val="42A877"/>
              </a:gs>
              <a:gs pos="90000">
                <a:schemeClr val="tx1"/>
              </a:gs>
            </a:gsLst>
            <a:lin ang="0" scaled="1"/>
            <a:tileRect/>
          </a:gra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000" b="0">
                <a:solidFill>
                  <a:schemeClr val="bg1"/>
                </a:solidFill>
              </a:rPr>
              <a:t>How to use </a:t>
            </a:r>
            <a:r>
              <a:rPr lang="en-US" altLang="ko-KR" sz="1000" b="1">
                <a:solidFill>
                  <a:schemeClr val="bg1"/>
                </a:solidFill>
              </a:rPr>
              <a:t>WORKSHEETS</a:t>
            </a:r>
            <a:endParaRPr lang="ko-KR" altLang="en-US" sz="1000" b="1">
              <a:solidFill>
                <a:schemeClr val="bg1"/>
              </a:solidFill>
            </a:endParaRPr>
          </a:p>
        </xdr:txBody>
      </xdr:sp>
      <xdr:sp macro="[0]!info2_4_Del" textlink="">
        <xdr:nvSpPr>
          <xdr:cNvPr id="94" name="TextBox 93">
            <a:extLst>
              <a:ext uri="{FF2B5EF4-FFF2-40B4-BE49-F238E27FC236}">
                <a16:creationId xmlns:a16="http://schemas.microsoft.com/office/drawing/2014/main" id="{A4B16B99-09A4-4264-8147-9B729E01BA56}"/>
              </a:ext>
            </a:extLst>
          </xdr:cNvPr>
          <xdr:cNvSpPr txBox="1"/>
        </xdr:nvSpPr>
        <xdr:spPr>
          <a:xfrm>
            <a:off x="23498177" y="1095376"/>
            <a:ext cx="256591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</a:rPr>
              <a:t>X</a:t>
            </a:r>
            <a:endParaRPr lang="ko-KR" altLang="en-US" sz="1100" b="1">
              <a:solidFill>
                <a:schemeClr val="bg1"/>
              </a:solidFill>
            </a:endParaRPr>
          </a:p>
        </xdr:txBody>
      </xdr:sp>
      <xdr:pic>
        <xdr:nvPicPr>
          <xdr:cNvPr id="10" name="그림 9">
            <a:extLst>
              <a:ext uri="{FF2B5EF4-FFF2-40B4-BE49-F238E27FC236}">
                <a16:creationId xmlns:a16="http://schemas.microsoft.com/office/drawing/2014/main" id="{AA38D4F5-79C7-4A40-8B61-2C875B24A7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364450" y="2314575"/>
            <a:ext cx="2867025" cy="1514475"/>
          </a:xfrm>
          <a:prstGeom prst="rect">
            <a:avLst/>
          </a:prstGeom>
          <a:ln>
            <a:noFill/>
          </a:ln>
        </xdr:spPr>
      </xdr:pic>
      <xdr:pic>
        <xdr:nvPicPr>
          <xdr:cNvPr id="15" name="그림 14">
            <a:extLst>
              <a:ext uri="{FF2B5EF4-FFF2-40B4-BE49-F238E27FC236}">
                <a16:creationId xmlns:a16="http://schemas.microsoft.com/office/drawing/2014/main" id="{4388CC3D-EB87-464F-859A-8603C4C2F9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62000" y="1854976"/>
            <a:ext cx="3669525" cy="327162"/>
          </a:xfrm>
          <a:prstGeom prst="rect">
            <a:avLst/>
          </a:prstGeom>
          <a:ln>
            <a:solidFill>
              <a:schemeClr val="bg1">
                <a:lumMod val="85000"/>
              </a:schemeClr>
            </a:solidFill>
          </a:ln>
        </xdr:spPr>
      </xdr:pic>
    </xdr:grpSp>
    <xdr:clientData fPrintsWithSheet="0"/>
  </xdr:twoCellAnchor>
  <xdr:twoCellAnchor editAs="absolute">
    <xdr:from>
      <xdr:col>5</xdr:col>
      <xdr:colOff>104775</xdr:colOff>
      <xdr:row>0</xdr:row>
      <xdr:rowOff>76200</xdr:rowOff>
    </xdr:from>
    <xdr:to>
      <xdr:col>6</xdr:col>
      <xdr:colOff>443431</xdr:colOff>
      <xdr:row>0</xdr:row>
      <xdr:rowOff>400200</xdr:rowOff>
    </xdr:to>
    <xdr:grpSp>
      <xdr:nvGrpSpPr>
        <xdr:cNvPr id="2" name="grp2_xlsx">
          <a:extLst>
            <a:ext uri="{FF2B5EF4-FFF2-40B4-BE49-F238E27FC236}">
              <a16:creationId xmlns:a16="http://schemas.microsoft.com/office/drawing/2014/main" id="{625AA4EA-9B5A-48D7-A27F-A040FA42172A}"/>
            </a:ext>
          </a:extLst>
        </xdr:cNvPr>
        <xdr:cNvGrpSpPr/>
      </xdr:nvGrpSpPr>
      <xdr:grpSpPr>
        <a:xfrm>
          <a:off x="3645834" y="76200"/>
          <a:ext cx="1246332" cy="324000"/>
          <a:chOff x="6667500" y="5534025"/>
          <a:chExt cx="1243531" cy="324000"/>
        </a:xfrm>
      </xdr:grpSpPr>
      <xdr:sp macro="[0]!sh2_XLSX" textlink="">
        <xdr:nvSpPr>
          <xdr:cNvPr id="55" name="타원 54">
            <a:extLst>
              <a:ext uri="{FF2B5EF4-FFF2-40B4-BE49-F238E27FC236}">
                <a16:creationId xmlns:a16="http://schemas.microsoft.com/office/drawing/2014/main" id="{56161241-F533-45EE-A9C8-661D47DBDA59}"/>
              </a:ext>
            </a:extLst>
          </xdr:cNvPr>
          <xdr:cNvSpPr/>
        </xdr:nvSpPr>
        <xdr:spPr>
          <a:xfrm>
            <a:off x="6667500" y="5534025"/>
            <a:ext cx="324000" cy="324000"/>
          </a:xfrm>
          <a:prstGeom prst="ellipse">
            <a:avLst/>
          </a:prstGeom>
          <a:solidFill>
            <a:srgbClr val="F8F8F8"/>
          </a:solidFill>
          <a:ln w="12700">
            <a:solidFill>
              <a:srgbClr val="825142"/>
            </a:solidFill>
          </a:ln>
          <a:effectLst>
            <a:outerShdw blurRad="50800" dist="38100" dir="2700000" algn="tl" rotWithShape="0">
              <a:schemeClr val="tx1">
                <a:lumMod val="50000"/>
                <a:lumOff val="5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sh2_XLSX" textlink="">
        <xdr:nvSpPr>
          <xdr:cNvPr id="58" name="TextBox 57">
            <a:extLst>
              <a:ext uri="{FF2B5EF4-FFF2-40B4-BE49-F238E27FC236}">
                <a16:creationId xmlns:a16="http://schemas.microsoft.com/office/drawing/2014/main" id="{9F9170BF-2886-46E5-9B8C-AACEDA93EF98}"/>
              </a:ext>
            </a:extLst>
          </xdr:cNvPr>
          <xdr:cNvSpPr txBox="1"/>
        </xdr:nvSpPr>
        <xdr:spPr>
          <a:xfrm>
            <a:off x="6723031" y="5566735"/>
            <a:ext cx="1188000" cy="288000"/>
          </a:xfrm>
          <a:prstGeom prst="rect">
            <a:avLst/>
          </a:prstGeom>
          <a:noFill/>
          <a:ln w="9525" cmpd="sng">
            <a:noFill/>
          </a:ln>
          <a:effectLst>
            <a:outerShdw blurRad="50800" dist="38100" dir="2700000" algn="tl" rotWithShape="0">
              <a:schemeClr val="tx1">
                <a:lumMod val="50000"/>
                <a:lumOff val="50000"/>
                <a:alpha val="40000"/>
              </a:scheme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ko-KR" altLang="en-US" sz="900" b="1">
                <a:solidFill>
                  <a:srgbClr val="825142"/>
                </a:solidFill>
              </a:rPr>
              <a:t>내보내기</a:t>
            </a:r>
            <a:r>
              <a:rPr lang="en-US" altLang="ko-KR" sz="900" b="1">
                <a:solidFill>
                  <a:srgbClr val="825142"/>
                </a:solidFill>
              </a:rPr>
              <a:t>(XLSX)</a:t>
            </a:r>
            <a:endParaRPr lang="ko-KR" altLang="en-US" sz="900" b="1">
              <a:solidFill>
                <a:srgbClr val="825142"/>
              </a:solidFill>
            </a:endParaRPr>
          </a:p>
        </xdr:txBody>
      </xdr:sp>
      <xdr:pic macro="[0]!sh2_XLSX">
        <xdr:nvPicPr>
          <xdr:cNvPr id="60" name="그래픽 59" descr="공유">
            <a:extLst>
              <a:ext uri="{FF2B5EF4-FFF2-40B4-BE49-F238E27FC236}">
                <a16:creationId xmlns:a16="http://schemas.microsoft.com/office/drawing/2014/main" id="{EAAE7EEC-854F-4895-A117-A6FFAC6E23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6715125" y="5562600"/>
            <a:ext cx="266400" cy="266400"/>
          </a:xfrm>
          <a:prstGeom prst="rect">
            <a:avLst/>
          </a:prstGeom>
          <a:effectLst>
            <a:innerShdw blurRad="63500" dist="50800" dir="10800000">
              <a:prstClr val="black">
                <a:alpha val="50000"/>
              </a:prstClr>
            </a:innerShdw>
          </a:effectLst>
        </xdr:spPr>
      </xdr:pic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333365</xdr:colOff>
      <xdr:row>2</xdr:row>
      <xdr:rowOff>114294</xdr:rowOff>
    </xdr:from>
    <xdr:to>
      <xdr:col>21</xdr:col>
      <xdr:colOff>476250</xdr:colOff>
      <xdr:row>13</xdr:row>
      <xdr:rowOff>0</xdr:rowOff>
    </xdr:to>
    <xdr:grpSp>
      <xdr:nvGrpSpPr>
        <xdr:cNvPr id="28" name="info6_2">
          <a:extLst>
            <a:ext uri="{FF2B5EF4-FFF2-40B4-BE49-F238E27FC236}">
              <a16:creationId xmlns:a16="http://schemas.microsoft.com/office/drawing/2014/main" id="{48C446C6-E151-4C44-9273-395B5C850DDA}"/>
            </a:ext>
          </a:extLst>
        </xdr:cNvPr>
        <xdr:cNvGrpSpPr/>
      </xdr:nvGrpSpPr>
      <xdr:grpSpPr>
        <a:xfrm>
          <a:off x="11953865" y="876294"/>
          <a:ext cx="4943485" cy="2819406"/>
          <a:chOff x="8686790" y="3076569"/>
          <a:chExt cx="4943485" cy="2819406"/>
        </a:xfrm>
      </xdr:grpSpPr>
      <xdr:sp macro="" textlink="">
        <xdr:nvSpPr>
          <xdr:cNvPr id="25" name="직사각형 24">
            <a:extLst>
              <a:ext uri="{FF2B5EF4-FFF2-40B4-BE49-F238E27FC236}">
                <a16:creationId xmlns:a16="http://schemas.microsoft.com/office/drawing/2014/main" id="{9E967BC8-1978-46E1-BADC-86F55C747AF4}"/>
              </a:ext>
            </a:extLst>
          </xdr:cNvPr>
          <xdr:cNvSpPr/>
        </xdr:nvSpPr>
        <xdr:spPr>
          <a:xfrm>
            <a:off x="8686790" y="3076569"/>
            <a:ext cx="4943485" cy="2819406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altLang="ko-KR" sz="1100">
              <a:solidFill>
                <a:srgbClr val="596D62"/>
              </a:solidFill>
              <a:latin typeface="+mn-ea"/>
              <a:ea typeface="+mn-ea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ea"/>
                <a:ea typeface="+mn-ea"/>
                <a:cs typeface="+mn-cs"/>
              </a:rPr>
              <a:t> 검색결과 내 </a:t>
            </a:r>
            <a:r>
              <a:rPr lang="ko-KR" altLang="en-US" sz="900">
                <a:solidFill>
                  <a:srgbClr val="FF0000"/>
                </a:solidFill>
                <a:effectLst/>
                <a:latin typeface="+mn-ea"/>
                <a:ea typeface="+mn-ea"/>
                <a:cs typeface="+mn-cs"/>
              </a:rPr>
              <a:t>셀을 더블클릭</a:t>
            </a:r>
            <a:r>
              <a:rPr lang="ko-KR" altLang="en-US" sz="90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ea"/>
                <a:ea typeface="+mn-ea"/>
                <a:cs typeface="+mn-cs"/>
              </a:rPr>
              <a:t>하여 연차정산서를 확인할</a:t>
            </a:r>
            <a:r>
              <a:rPr lang="ko-KR" altLang="en-US" sz="900" baseline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ea"/>
                <a:ea typeface="+mn-ea"/>
                <a:cs typeface="+mn-cs"/>
              </a:rPr>
              <a:t> 수 있습니다</a:t>
            </a:r>
            <a:r>
              <a:rPr lang="en-US" altLang="ko-KR" sz="900" baseline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ea"/>
                <a:ea typeface="+mn-ea"/>
                <a:cs typeface="+mn-cs"/>
              </a:rPr>
              <a:t>.</a:t>
            </a:r>
            <a:endParaRPr lang="ko-KR" altLang="en-US" sz="900">
              <a:solidFill>
                <a:srgbClr val="596D62"/>
              </a:solidFill>
              <a:latin typeface="+mn-ea"/>
              <a:ea typeface="+mn-ea"/>
            </a:endParaRPr>
          </a:p>
        </xdr:txBody>
      </xdr: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7FB8D54D-3D01-435C-AB2E-F842EBE7DE23}"/>
              </a:ext>
            </a:extLst>
          </xdr:cNvPr>
          <xdr:cNvSpPr txBox="1"/>
        </xdr:nvSpPr>
        <xdr:spPr>
          <a:xfrm>
            <a:off x="8696315" y="3086095"/>
            <a:ext cx="4929400" cy="226800"/>
          </a:xfrm>
          <a:prstGeom prst="rect">
            <a:avLst/>
          </a:prstGeom>
          <a:gradFill flip="none" rotWithShape="1">
            <a:gsLst>
              <a:gs pos="0">
                <a:srgbClr val="42A877"/>
              </a:gs>
              <a:gs pos="90000">
                <a:schemeClr val="tx1"/>
              </a:gs>
            </a:gsLst>
            <a:lin ang="0" scaled="1"/>
            <a:tileRect/>
          </a:gra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000" b="0">
                <a:solidFill>
                  <a:schemeClr val="bg1"/>
                </a:solidFill>
              </a:rPr>
              <a:t>How to use </a:t>
            </a:r>
            <a:r>
              <a:rPr lang="en-US" altLang="ko-KR" sz="1000" b="1">
                <a:solidFill>
                  <a:schemeClr val="bg1"/>
                </a:solidFill>
              </a:rPr>
              <a:t>WORKSHEETS</a:t>
            </a:r>
            <a:endParaRPr lang="ko-KR" altLang="en-US" sz="1000" b="1">
              <a:solidFill>
                <a:schemeClr val="bg1"/>
              </a:solidFill>
            </a:endParaRPr>
          </a:p>
        </xdr:txBody>
      </xdr:sp>
      <xdr:sp macro="[0]!info6_2_Del" textlink="">
        <xdr:nvSpPr>
          <xdr:cNvPr id="27" name="TextBox 26">
            <a:extLst>
              <a:ext uri="{FF2B5EF4-FFF2-40B4-BE49-F238E27FC236}">
                <a16:creationId xmlns:a16="http://schemas.microsoft.com/office/drawing/2014/main" id="{B7CFDCFB-94B8-46F4-931B-5F6BBC92C8C1}"/>
              </a:ext>
            </a:extLst>
          </xdr:cNvPr>
          <xdr:cNvSpPr txBox="1"/>
        </xdr:nvSpPr>
        <xdr:spPr>
          <a:xfrm>
            <a:off x="13344517" y="3076570"/>
            <a:ext cx="285751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</a:rPr>
              <a:t>X</a:t>
            </a:r>
            <a:endParaRPr lang="ko-KR" altLang="en-US" sz="1100" b="1">
              <a:solidFill>
                <a:schemeClr val="bg1"/>
              </a:solidFill>
            </a:endParaRPr>
          </a:p>
        </xdr:txBody>
      </xdr:sp>
      <xdr:pic>
        <xdr:nvPicPr>
          <xdr:cNvPr id="9" name="그림 8">
            <a:extLst>
              <a:ext uri="{FF2B5EF4-FFF2-40B4-BE49-F238E27FC236}">
                <a16:creationId xmlns:a16="http://schemas.microsoft.com/office/drawing/2014/main" id="{B9F977E7-DA79-4D5F-A4AD-C62E96BC08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02469" y="3648075"/>
            <a:ext cx="4723031" cy="2120794"/>
          </a:xfrm>
          <a:prstGeom prst="rect">
            <a:avLst/>
          </a:prstGeom>
          <a:ln>
            <a:solidFill>
              <a:schemeClr val="bg2"/>
            </a:solidFill>
          </a:ln>
        </xdr:spPr>
      </xdr:pic>
    </xdr:grpSp>
    <xdr:clientData fPrintsWithSheet="0"/>
  </xdr:twoCellAnchor>
  <xdr:twoCellAnchor editAs="absolute">
    <xdr:from>
      <xdr:col>3</xdr:col>
      <xdr:colOff>104775</xdr:colOff>
      <xdr:row>0</xdr:row>
      <xdr:rowOff>66675</xdr:rowOff>
    </xdr:from>
    <xdr:to>
      <xdr:col>3</xdr:col>
      <xdr:colOff>428775</xdr:colOff>
      <xdr:row>0</xdr:row>
      <xdr:rowOff>390675</xdr:rowOff>
    </xdr:to>
    <xdr:grpSp>
      <xdr:nvGrpSpPr>
        <xdr:cNvPr id="16" name="그룹 15">
          <a:extLst>
            <a:ext uri="{FF2B5EF4-FFF2-40B4-BE49-F238E27FC236}">
              <a16:creationId xmlns:a16="http://schemas.microsoft.com/office/drawing/2014/main" id="{5F77CC5E-FDC2-417A-98B6-E4775033A23B}"/>
            </a:ext>
          </a:extLst>
        </xdr:cNvPr>
        <xdr:cNvGrpSpPr/>
      </xdr:nvGrpSpPr>
      <xdr:grpSpPr>
        <a:xfrm>
          <a:off x="2009775" y="66675"/>
          <a:ext cx="324000" cy="324000"/>
          <a:chOff x="6972300" y="2809875"/>
          <a:chExt cx="324000" cy="324000"/>
        </a:xfrm>
      </xdr:grpSpPr>
      <xdr:sp macro="[0]!Search_Sh6_Open" textlink="">
        <xdr:nvSpPr>
          <xdr:cNvPr id="17" name="타원 16">
            <a:extLst>
              <a:ext uri="{FF2B5EF4-FFF2-40B4-BE49-F238E27FC236}">
                <a16:creationId xmlns:a16="http://schemas.microsoft.com/office/drawing/2014/main" id="{8AEEBC75-1B16-4146-9396-36CEC39BCAE0}"/>
              </a:ext>
            </a:extLst>
          </xdr:cNvPr>
          <xdr:cNvSpPr/>
        </xdr:nvSpPr>
        <xdr:spPr>
          <a:xfrm>
            <a:off x="6972300" y="2809875"/>
            <a:ext cx="324000" cy="324000"/>
          </a:xfrm>
          <a:prstGeom prst="ellipse">
            <a:avLst/>
          </a:prstGeom>
          <a:gradFill>
            <a:gsLst>
              <a:gs pos="50000">
                <a:srgbClr val="825142"/>
              </a:gs>
              <a:gs pos="100000">
                <a:srgbClr val="AA6E5A"/>
              </a:gs>
            </a:gsLst>
            <a:lin ang="5400000" scaled="1"/>
          </a:gradFill>
          <a:ln w="12700">
            <a:solidFill>
              <a:srgbClr val="825142"/>
            </a:solidFill>
          </a:ln>
          <a:effectLst>
            <a:outerShdw blurRad="50800" dist="38100" dir="2700000" algn="tl" rotWithShape="0">
              <a:schemeClr val="tx1">
                <a:lumMod val="50000"/>
                <a:lumOff val="5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earch_Sh6_Open">
        <xdr:nvPicPr>
          <xdr:cNvPr id="19" name="btn_S2" descr="목표 대상 그룹">
            <a:extLst>
              <a:ext uri="{FF2B5EF4-FFF2-40B4-BE49-F238E27FC236}">
                <a16:creationId xmlns:a16="http://schemas.microsoft.com/office/drawing/2014/main" id="{A748B0A4-0035-4529-A2F6-3E7A8AE41D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972300" y="2809875"/>
            <a:ext cx="324000" cy="324000"/>
          </a:xfrm>
          <a:prstGeom prst="rect">
            <a:avLst/>
          </a:prstGeom>
          <a:effectLst/>
        </xdr:spPr>
      </xdr:pic>
    </xdr:grp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571500</xdr:colOff>
      <xdr:row>0</xdr:row>
      <xdr:rowOff>476248</xdr:rowOff>
    </xdr:from>
    <xdr:to>
      <xdr:col>17</xdr:col>
      <xdr:colOff>582706</xdr:colOff>
      <xdr:row>17</xdr:row>
      <xdr:rowOff>19050</xdr:rowOff>
    </xdr:to>
    <xdr:grpSp>
      <xdr:nvGrpSpPr>
        <xdr:cNvPr id="3" name="info7_1">
          <a:extLst>
            <a:ext uri="{FF2B5EF4-FFF2-40B4-BE49-F238E27FC236}">
              <a16:creationId xmlns:a16="http://schemas.microsoft.com/office/drawing/2014/main" id="{4703BAF3-4863-4ECC-94B8-CC60D202682C}"/>
            </a:ext>
          </a:extLst>
        </xdr:cNvPr>
        <xdr:cNvGrpSpPr/>
      </xdr:nvGrpSpPr>
      <xdr:grpSpPr>
        <a:xfrm>
          <a:off x="11572875" y="476248"/>
          <a:ext cx="2754406" cy="4352927"/>
          <a:chOff x="7315200" y="3190873"/>
          <a:chExt cx="2754406" cy="4352927"/>
        </a:xfrm>
      </xdr:grpSpPr>
      <xdr:sp macro="" textlink="">
        <xdr:nvSpPr>
          <xdr:cNvPr id="14" name="직사각형 13">
            <a:extLst>
              <a:ext uri="{FF2B5EF4-FFF2-40B4-BE49-F238E27FC236}">
                <a16:creationId xmlns:a16="http://schemas.microsoft.com/office/drawing/2014/main" id="{13716865-0EAA-482D-9E14-9EEEAA2C5CB9}"/>
              </a:ext>
            </a:extLst>
          </xdr:cNvPr>
          <xdr:cNvSpPr/>
        </xdr:nvSpPr>
        <xdr:spPr>
          <a:xfrm>
            <a:off x="7315200" y="3190873"/>
            <a:ext cx="2752725" cy="4352927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altLang="ko-KR" sz="1100">
              <a:solidFill>
                <a:srgbClr val="596D62"/>
              </a:solidFill>
              <a:latin typeface="+mn-ea"/>
              <a:ea typeface="+mn-ea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 [</a:t>
            </a:r>
            <a:r>
              <a:rPr lang="ko-KR" altLang="en-US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성명</a:t>
            </a:r>
            <a:r>
              <a:rPr lang="en-US" altLang="ko-KR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],</a:t>
            </a:r>
            <a:r>
              <a:rPr lang="en-US" altLang="ko-KR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 [</a:t>
            </a:r>
            <a:r>
              <a:rPr lang="ko-KR" altLang="en-US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부서</a:t>
            </a:r>
            <a:r>
              <a:rPr lang="en-US" altLang="ko-KR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/</a:t>
            </a:r>
            <a:r>
              <a:rPr lang="ko-KR" altLang="en-US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직위</a:t>
            </a:r>
            <a:r>
              <a:rPr lang="en-US" altLang="ko-KR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] </a:t>
            </a:r>
            <a:r>
              <a:rPr lang="ko-KR" altLang="en-US" sz="900" baseline="0">
                <a:solidFill>
                  <a:srgbClr val="C00000"/>
                </a:solidFill>
                <a:effectLst/>
                <a:latin typeface="+mn-ea"/>
                <a:ea typeface="+mn-ea"/>
                <a:cs typeface="+mn-cs"/>
              </a:rPr>
              <a:t>셀을 더블클릭</a:t>
            </a:r>
            <a:r>
              <a:rPr lang="ko-KR" altLang="en-US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하여</a:t>
            </a:r>
            <a:endParaRPr lang="en-US" altLang="ko-KR" sz="900" baseline="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 연차정산서를 조회하세요</a:t>
            </a:r>
            <a:r>
              <a:rPr lang="en-US" altLang="ko-KR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.</a:t>
            </a:r>
            <a:endParaRPr lang="ko-KR" altLang="en-US" sz="900">
              <a:solidFill>
                <a:sysClr val="windowText" lastClr="000000"/>
              </a:solidFill>
              <a:latin typeface="+mn-ea"/>
              <a:ea typeface="+mn-ea"/>
            </a:endParaRP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AAE53E71-29BA-4835-BE01-D36037F9C8B8}"/>
              </a:ext>
            </a:extLst>
          </xdr:cNvPr>
          <xdr:cNvSpPr txBox="1"/>
        </xdr:nvSpPr>
        <xdr:spPr>
          <a:xfrm>
            <a:off x="7324724" y="3200400"/>
            <a:ext cx="2744882" cy="226800"/>
          </a:xfrm>
          <a:prstGeom prst="rect">
            <a:avLst/>
          </a:prstGeom>
          <a:gradFill flip="none" rotWithShape="1">
            <a:gsLst>
              <a:gs pos="0">
                <a:srgbClr val="42A877"/>
              </a:gs>
              <a:gs pos="90000">
                <a:schemeClr val="tx1"/>
              </a:gs>
            </a:gsLst>
            <a:lin ang="0" scaled="1"/>
            <a:tileRect/>
          </a:gra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000" b="0">
                <a:solidFill>
                  <a:schemeClr val="bg1"/>
                </a:solidFill>
              </a:rPr>
              <a:t>How to use </a:t>
            </a:r>
            <a:r>
              <a:rPr lang="en-US" altLang="ko-KR" sz="1000" b="1">
                <a:solidFill>
                  <a:schemeClr val="bg1"/>
                </a:solidFill>
              </a:rPr>
              <a:t>WORKSHEETS</a:t>
            </a:r>
            <a:endParaRPr lang="ko-KR" altLang="en-US" sz="1000" b="1">
              <a:solidFill>
                <a:schemeClr val="bg1"/>
              </a:solidFill>
            </a:endParaRPr>
          </a:p>
        </xdr:txBody>
      </xdr:sp>
      <xdr:sp macro="[0]!info7_1_Del" textlink="">
        <xdr:nvSpPr>
          <xdr:cNvPr id="16" name="TextBox 15">
            <a:extLst>
              <a:ext uri="{FF2B5EF4-FFF2-40B4-BE49-F238E27FC236}">
                <a16:creationId xmlns:a16="http://schemas.microsoft.com/office/drawing/2014/main" id="{1F1E50E2-4235-483B-9D2E-FA10BF395A9F}"/>
              </a:ext>
            </a:extLst>
          </xdr:cNvPr>
          <xdr:cNvSpPr txBox="1"/>
        </xdr:nvSpPr>
        <xdr:spPr>
          <a:xfrm>
            <a:off x="9772651" y="3190875"/>
            <a:ext cx="285751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</a:rPr>
              <a:t>X</a:t>
            </a:r>
            <a:endParaRPr lang="ko-KR" altLang="en-US" sz="1100" b="1">
              <a:solidFill>
                <a:schemeClr val="bg1"/>
              </a:solidFill>
            </a:endParaRPr>
          </a:p>
        </xdr:txBody>
      </xdr:sp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17610787-1A21-4453-AC30-D99BBC88D5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39025" y="3954597"/>
            <a:ext cx="2482396" cy="3424278"/>
          </a:xfrm>
          <a:prstGeom prst="rect">
            <a:avLst/>
          </a:prstGeom>
          <a:ln>
            <a:solidFill>
              <a:schemeClr val="bg2"/>
            </a:solidFill>
          </a:ln>
        </xdr:spPr>
      </xdr:pic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</xdr:row>
      <xdr:rowOff>266700</xdr:rowOff>
    </xdr:from>
    <xdr:to>
      <xdr:col>24</xdr:col>
      <xdr:colOff>333374</xdr:colOff>
      <xdr:row>6</xdr:row>
      <xdr:rowOff>19500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F4656441-EA69-4D9F-9DF2-D03F9460CC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171450</xdr:colOff>
      <xdr:row>7</xdr:row>
      <xdr:rowOff>285750</xdr:rowOff>
    </xdr:from>
    <xdr:to>
      <xdr:col>34</xdr:col>
      <xdr:colOff>28574</xdr:colOff>
      <xdr:row>15</xdr:row>
      <xdr:rowOff>38100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713961FB-B3AE-4DD7-B4DC-11D406B155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95250</xdr:colOff>
      <xdr:row>7</xdr:row>
      <xdr:rowOff>0</xdr:rowOff>
    </xdr:from>
    <xdr:to>
      <xdr:col>33</xdr:col>
      <xdr:colOff>381000</xdr:colOff>
      <xdr:row>7</xdr:row>
      <xdr:rowOff>0</xdr:rowOff>
    </xdr:to>
    <xdr:grpSp>
      <xdr:nvGrpSpPr>
        <xdr:cNvPr id="16" name="그룹 15">
          <a:extLst>
            <a:ext uri="{FF2B5EF4-FFF2-40B4-BE49-F238E27FC236}">
              <a16:creationId xmlns:a16="http://schemas.microsoft.com/office/drawing/2014/main" id="{36DF3E5F-2565-41BA-BD1C-AA8EF7717A31}"/>
            </a:ext>
          </a:extLst>
        </xdr:cNvPr>
        <xdr:cNvGrpSpPr/>
      </xdr:nvGrpSpPr>
      <xdr:grpSpPr>
        <a:xfrm>
          <a:off x="190500" y="1847850"/>
          <a:ext cx="11430000" cy="0"/>
          <a:chOff x="190500" y="1847850"/>
          <a:chExt cx="11430000" cy="0"/>
        </a:xfrm>
      </xdr:grpSpPr>
      <xdr:cxnSp macro="">
        <xdr:nvCxnSpPr>
          <xdr:cNvPr id="10" name="직선 연결선 9">
            <a:extLst>
              <a:ext uri="{FF2B5EF4-FFF2-40B4-BE49-F238E27FC236}">
                <a16:creationId xmlns:a16="http://schemas.microsoft.com/office/drawing/2014/main" id="{25BC5B6B-63D0-46CE-A1AE-C2FEE513582A}"/>
              </a:ext>
            </a:extLst>
          </xdr:cNvPr>
          <xdr:cNvCxnSpPr/>
        </xdr:nvCxnSpPr>
        <xdr:spPr>
          <a:xfrm>
            <a:off x="190500" y="1847850"/>
            <a:ext cx="8277225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직선 연결선 11">
            <a:extLst>
              <a:ext uri="{FF2B5EF4-FFF2-40B4-BE49-F238E27FC236}">
                <a16:creationId xmlns:a16="http://schemas.microsoft.com/office/drawing/2014/main" id="{9D614ED9-F069-4CE7-99F6-AEAE76763978}"/>
              </a:ext>
            </a:extLst>
          </xdr:cNvPr>
          <xdr:cNvCxnSpPr/>
        </xdr:nvCxnSpPr>
        <xdr:spPr>
          <a:xfrm>
            <a:off x="8677275" y="1847850"/>
            <a:ext cx="2943225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 fPrintsWithSheet="0"/>
  </xdr:twoCellAnchor>
  <xdr:twoCellAnchor>
    <xdr:from>
      <xdr:col>1</xdr:col>
      <xdr:colOff>0</xdr:colOff>
      <xdr:row>7</xdr:row>
      <xdr:rowOff>238126</xdr:rowOff>
    </xdr:from>
    <xdr:to>
      <xdr:col>24</xdr:col>
      <xdr:colOff>314325</xdr:colOff>
      <xdr:row>15</xdr:row>
      <xdr:rowOff>1</xdr:rowOff>
    </xdr:to>
    <xdr:graphicFrame macro="">
      <xdr:nvGraphicFramePr>
        <xdr:cNvPr id="18" name="차트 17">
          <a:extLst>
            <a:ext uri="{FF2B5EF4-FFF2-40B4-BE49-F238E27FC236}">
              <a16:creationId xmlns:a16="http://schemas.microsoft.com/office/drawing/2014/main" id="{6B39C4DA-CDE8-48CD-AD4E-64113D2602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36</xdr:col>
      <xdr:colOff>85725</xdr:colOff>
      <xdr:row>0</xdr:row>
      <xdr:rowOff>466725</xdr:rowOff>
    </xdr:from>
    <xdr:to>
      <xdr:col>40</xdr:col>
      <xdr:colOff>447677</xdr:colOff>
      <xdr:row>18</xdr:row>
      <xdr:rowOff>200025</xdr:rowOff>
    </xdr:to>
    <xdr:grpSp>
      <xdr:nvGrpSpPr>
        <xdr:cNvPr id="2" name="info8_1">
          <a:extLst>
            <a:ext uri="{FF2B5EF4-FFF2-40B4-BE49-F238E27FC236}">
              <a16:creationId xmlns:a16="http://schemas.microsoft.com/office/drawing/2014/main" id="{091BB9BF-86C3-43A9-BBC2-25EB9F59B795}"/>
            </a:ext>
          </a:extLst>
        </xdr:cNvPr>
        <xdr:cNvGrpSpPr/>
      </xdr:nvGrpSpPr>
      <xdr:grpSpPr>
        <a:xfrm>
          <a:off x="12372975" y="466725"/>
          <a:ext cx="2895602" cy="4429125"/>
          <a:chOff x="7248525" y="1695450"/>
          <a:chExt cx="2895602" cy="4429125"/>
        </a:xfrm>
      </xdr:grpSpPr>
      <xdr:sp macro="" textlink="">
        <xdr:nvSpPr>
          <xdr:cNvPr id="15" name="직사각형 14">
            <a:extLst>
              <a:ext uri="{FF2B5EF4-FFF2-40B4-BE49-F238E27FC236}">
                <a16:creationId xmlns:a16="http://schemas.microsoft.com/office/drawing/2014/main" id="{1EDA7F0C-82F9-484D-A9EE-0C7D1632C45D}"/>
              </a:ext>
            </a:extLst>
          </xdr:cNvPr>
          <xdr:cNvSpPr/>
        </xdr:nvSpPr>
        <xdr:spPr>
          <a:xfrm>
            <a:off x="7248525" y="1695450"/>
            <a:ext cx="2886075" cy="4429125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altLang="ko-KR" sz="1100">
              <a:solidFill>
                <a:srgbClr val="596D62"/>
              </a:solidFill>
              <a:latin typeface="+mn-ea"/>
              <a:ea typeface="+mn-ea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 [</a:t>
            </a:r>
            <a:r>
              <a:rPr lang="ko-KR" altLang="en-US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연도</a:t>
            </a:r>
            <a:r>
              <a:rPr lang="en-US" altLang="ko-KR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]~[</a:t>
            </a:r>
            <a:r>
              <a:rPr lang="ko-KR" altLang="en-US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직위</a:t>
            </a:r>
            <a:r>
              <a:rPr lang="en-US" altLang="ko-KR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] </a:t>
            </a:r>
            <a:r>
              <a:rPr lang="ko-KR" altLang="en-US" sz="900">
                <a:solidFill>
                  <a:srgbClr val="C00000"/>
                </a:solidFill>
                <a:effectLst/>
                <a:latin typeface="+mn-ea"/>
                <a:ea typeface="+mn-ea"/>
                <a:cs typeface="+mn-cs"/>
              </a:rPr>
              <a:t>셀을 더블클릭</a:t>
            </a:r>
            <a:r>
              <a:rPr lang="ko-KR" altLang="en-US" sz="90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하여 연간</a:t>
            </a:r>
            <a:r>
              <a:rPr lang="ko-KR" altLang="en-US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 현황을</a:t>
            </a:r>
            <a:endParaRPr lang="en-US" altLang="ko-KR" sz="900" baseline="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 </a:t>
            </a:r>
            <a:r>
              <a:rPr lang="ko-KR" altLang="en-US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조회하세요</a:t>
            </a:r>
            <a:r>
              <a:rPr lang="en-US" altLang="ko-KR" sz="900" baseline="0">
                <a:solidFill>
                  <a:sysClr val="windowText" lastClr="000000"/>
                </a:solidFill>
                <a:effectLst/>
                <a:latin typeface="+mn-ea"/>
                <a:ea typeface="+mn-ea"/>
                <a:cs typeface="+mn-cs"/>
              </a:rPr>
              <a:t>.</a:t>
            </a:r>
            <a:endParaRPr lang="ko-KR" altLang="en-US" sz="900">
              <a:solidFill>
                <a:sysClr val="windowText" lastClr="000000"/>
              </a:solidFill>
              <a:latin typeface="+mn-ea"/>
              <a:ea typeface="+mn-ea"/>
            </a:endParaRP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4D5739DD-9A7E-4EFD-8E91-D48147B12F90}"/>
              </a:ext>
            </a:extLst>
          </xdr:cNvPr>
          <xdr:cNvSpPr txBox="1"/>
        </xdr:nvSpPr>
        <xdr:spPr>
          <a:xfrm>
            <a:off x="7258049" y="1704977"/>
            <a:ext cx="2877852" cy="226800"/>
          </a:xfrm>
          <a:prstGeom prst="rect">
            <a:avLst/>
          </a:prstGeom>
          <a:gradFill flip="none" rotWithShape="1">
            <a:gsLst>
              <a:gs pos="0">
                <a:srgbClr val="42A877"/>
              </a:gs>
              <a:gs pos="90000">
                <a:schemeClr val="tx1"/>
              </a:gs>
            </a:gsLst>
            <a:lin ang="0" scaled="1"/>
            <a:tileRect/>
          </a:gra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000" b="0">
                <a:solidFill>
                  <a:schemeClr val="bg1"/>
                </a:solidFill>
              </a:rPr>
              <a:t>How to use </a:t>
            </a:r>
            <a:r>
              <a:rPr lang="en-US" altLang="ko-KR" sz="1000" b="1">
                <a:solidFill>
                  <a:schemeClr val="bg1"/>
                </a:solidFill>
              </a:rPr>
              <a:t>WORKSHEETS</a:t>
            </a:r>
            <a:endParaRPr lang="ko-KR" altLang="en-US" sz="1000" b="1">
              <a:solidFill>
                <a:schemeClr val="bg1"/>
              </a:solidFill>
            </a:endParaRPr>
          </a:p>
        </xdr:txBody>
      </xdr:sp>
      <xdr:sp macro="[0]!info8_1_Del" textlink="">
        <xdr:nvSpPr>
          <xdr:cNvPr id="19" name="TextBox 18">
            <a:extLst>
              <a:ext uri="{FF2B5EF4-FFF2-40B4-BE49-F238E27FC236}">
                <a16:creationId xmlns:a16="http://schemas.microsoft.com/office/drawing/2014/main" id="{2B7C7DC9-1E07-4233-90D2-56E18E2B4397}"/>
              </a:ext>
            </a:extLst>
          </xdr:cNvPr>
          <xdr:cNvSpPr txBox="1"/>
        </xdr:nvSpPr>
        <xdr:spPr>
          <a:xfrm>
            <a:off x="9858376" y="1695452"/>
            <a:ext cx="285751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</a:rPr>
              <a:t>X</a:t>
            </a:r>
            <a:endParaRPr lang="ko-KR" altLang="en-US" sz="1100" b="1">
              <a:solidFill>
                <a:schemeClr val="bg1"/>
              </a:solidFill>
            </a:endParaRPr>
          </a:p>
        </xdr:txBody>
      </xdr:sp>
      <xdr:pic>
        <xdr:nvPicPr>
          <xdr:cNvPr id="11" name="그림 10">
            <a:extLst>
              <a:ext uri="{FF2B5EF4-FFF2-40B4-BE49-F238E27FC236}">
                <a16:creationId xmlns:a16="http://schemas.microsoft.com/office/drawing/2014/main" id="{337E4851-488F-4836-9432-822B85A612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360023" y="2466974"/>
            <a:ext cx="2650751" cy="3530263"/>
          </a:xfrm>
          <a:prstGeom prst="rect">
            <a:avLst/>
          </a:prstGeom>
          <a:ln>
            <a:solidFill>
              <a:schemeClr val="bg2"/>
            </a:solidFill>
          </a:ln>
        </xdr:spPr>
      </xdr:pic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400050</xdr:colOff>
      <xdr:row>0</xdr:row>
      <xdr:rowOff>161926</xdr:rowOff>
    </xdr:from>
    <xdr:to>
      <xdr:col>14</xdr:col>
      <xdr:colOff>371477</xdr:colOff>
      <xdr:row>3</xdr:row>
      <xdr:rowOff>9526</xdr:rowOff>
    </xdr:to>
    <xdr:grpSp>
      <xdr:nvGrpSpPr>
        <xdr:cNvPr id="2" name="info96_1">
          <a:extLst>
            <a:ext uri="{FF2B5EF4-FFF2-40B4-BE49-F238E27FC236}">
              <a16:creationId xmlns:a16="http://schemas.microsoft.com/office/drawing/2014/main" id="{3826BBA4-1CDA-409B-B89A-22C4814E4824}"/>
            </a:ext>
          </a:extLst>
        </xdr:cNvPr>
        <xdr:cNvGrpSpPr/>
      </xdr:nvGrpSpPr>
      <xdr:grpSpPr>
        <a:xfrm>
          <a:off x="6972300" y="161926"/>
          <a:ext cx="4772027" cy="990600"/>
          <a:chOff x="7286625" y="1866901"/>
          <a:chExt cx="4772027" cy="990600"/>
        </a:xfrm>
      </xdr:grpSpPr>
      <xdr:sp macro="" textlink="">
        <xdr:nvSpPr>
          <xdr:cNvPr id="10" name="직사각형 9">
            <a:extLst>
              <a:ext uri="{FF2B5EF4-FFF2-40B4-BE49-F238E27FC236}">
                <a16:creationId xmlns:a16="http://schemas.microsoft.com/office/drawing/2014/main" id="{72371864-97B2-4BEB-B911-D1088C71E5B0}"/>
              </a:ext>
            </a:extLst>
          </xdr:cNvPr>
          <xdr:cNvSpPr/>
        </xdr:nvSpPr>
        <xdr:spPr>
          <a:xfrm>
            <a:off x="7286625" y="1866901"/>
            <a:ext cx="4762500" cy="990600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altLang="ko-KR" sz="1100">
              <a:solidFill>
                <a:sysClr val="windowText" lastClr="000000"/>
              </a:solidFill>
              <a:latin typeface="+mn-ea"/>
              <a:ea typeface="+mn-ea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[</a:t>
            </a:r>
            <a:r>
              <a:rPr kumimoji="0" lang="ko-KR" altLang="en-US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연차촉진통지서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]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, 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[</a:t>
            </a:r>
            <a:r>
              <a:rPr kumimoji="0" lang="ko-KR" altLang="en-US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지정통보서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]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는 사업장작성 양식으로 자동 작성 기능을 제공합니다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[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성명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]~[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직위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]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셀을 더블클릭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하여 조회하세요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(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*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[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사용계획서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]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는 근로자 작성용 양식입니다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.)</a:t>
            </a: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510CA1C0-810E-4333-B793-001CB1FF46E0}"/>
              </a:ext>
            </a:extLst>
          </xdr:cNvPr>
          <xdr:cNvSpPr txBox="1"/>
        </xdr:nvSpPr>
        <xdr:spPr>
          <a:xfrm>
            <a:off x="7296148" y="1876427"/>
            <a:ext cx="4748931" cy="226800"/>
          </a:xfrm>
          <a:prstGeom prst="rect">
            <a:avLst/>
          </a:prstGeom>
          <a:gradFill flip="none" rotWithShape="1">
            <a:gsLst>
              <a:gs pos="0">
                <a:srgbClr val="42A877"/>
              </a:gs>
              <a:gs pos="90000">
                <a:schemeClr val="tx1"/>
              </a:gs>
            </a:gsLst>
            <a:lin ang="0" scaled="1"/>
            <a:tileRect/>
          </a:gra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000" b="0">
                <a:solidFill>
                  <a:schemeClr val="bg1"/>
                </a:solidFill>
              </a:rPr>
              <a:t>How to use </a:t>
            </a:r>
            <a:r>
              <a:rPr lang="en-US" altLang="ko-KR" sz="1000" b="1">
                <a:solidFill>
                  <a:schemeClr val="bg1"/>
                </a:solidFill>
              </a:rPr>
              <a:t>WORKSHEETS</a:t>
            </a:r>
            <a:endParaRPr lang="ko-KR" altLang="en-US" sz="1000" b="1">
              <a:solidFill>
                <a:schemeClr val="bg1"/>
              </a:solidFill>
            </a:endParaRPr>
          </a:p>
        </xdr:txBody>
      </xdr:sp>
      <xdr:sp macro="[0]!info96_1_Del" textlink="">
        <xdr:nvSpPr>
          <xdr:cNvPr id="12" name="TextBox 11">
            <a:extLst>
              <a:ext uri="{FF2B5EF4-FFF2-40B4-BE49-F238E27FC236}">
                <a16:creationId xmlns:a16="http://schemas.microsoft.com/office/drawing/2014/main" id="{8DAC8E32-71EF-430D-BFDA-6266CBB4CB02}"/>
              </a:ext>
            </a:extLst>
          </xdr:cNvPr>
          <xdr:cNvSpPr txBox="1"/>
        </xdr:nvSpPr>
        <xdr:spPr>
          <a:xfrm>
            <a:off x="11772901" y="1866902"/>
            <a:ext cx="285751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</a:rPr>
              <a:t>X</a:t>
            </a:r>
            <a:endParaRPr lang="ko-KR" altLang="en-US" sz="1100" b="1">
              <a:solidFill>
                <a:schemeClr val="bg1"/>
              </a:solidFill>
            </a:endParaRPr>
          </a:p>
        </xdr:txBody>
      </xdr:sp>
    </xdr:grp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400050</xdr:colOff>
      <xdr:row>0</xdr:row>
      <xdr:rowOff>161925</xdr:rowOff>
    </xdr:from>
    <xdr:to>
      <xdr:col>14</xdr:col>
      <xdr:colOff>371477</xdr:colOff>
      <xdr:row>3</xdr:row>
      <xdr:rowOff>9525</xdr:rowOff>
    </xdr:to>
    <xdr:grpSp>
      <xdr:nvGrpSpPr>
        <xdr:cNvPr id="2" name="info96_1">
          <a:extLst>
            <a:ext uri="{FF2B5EF4-FFF2-40B4-BE49-F238E27FC236}">
              <a16:creationId xmlns:a16="http://schemas.microsoft.com/office/drawing/2014/main" id="{A0404765-08D8-4AE0-8809-0BFE0A0B0C46}"/>
            </a:ext>
          </a:extLst>
        </xdr:cNvPr>
        <xdr:cNvGrpSpPr/>
      </xdr:nvGrpSpPr>
      <xdr:grpSpPr>
        <a:xfrm>
          <a:off x="6972300" y="161925"/>
          <a:ext cx="4772027" cy="990600"/>
          <a:chOff x="7286625" y="1866901"/>
          <a:chExt cx="4772027" cy="990600"/>
        </a:xfrm>
      </xdr:grpSpPr>
      <xdr:sp macro="" textlink="">
        <xdr:nvSpPr>
          <xdr:cNvPr id="3" name="직사각형 2">
            <a:extLst>
              <a:ext uri="{FF2B5EF4-FFF2-40B4-BE49-F238E27FC236}">
                <a16:creationId xmlns:a16="http://schemas.microsoft.com/office/drawing/2014/main" id="{739E045B-E1E4-41B2-A51A-9FA116D39BF3}"/>
              </a:ext>
            </a:extLst>
          </xdr:cNvPr>
          <xdr:cNvSpPr/>
        </xdr:nvSpPr>
        <xdr:spPr>
          <a:xfrm>
            <a:off x="7286625" y="1866901"/>
            <a:ext cx="4762500" cy="990600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altLang="ko-KR" sz="1100">
              <a:solidFill>
                <a:sysClr val="windowText" lastClr="000000"/>
              </a:solidFill>
              <a:latin typeface="+mn-ea"/>
              <a:ea typeface="+mn-ea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[</a:t>
            </a:r>
            <a:r>
              <a:rPr kumimoji="0" lang="ko-KR" altLang="en-US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연차촉진통지서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]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, 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[</a:t>
            </a:r>
            <a:r>
              <a:rPr kumimoji="0" lang="ko-KR" altLang="en-US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지정통보서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]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는 사업장작성 양식으로 자동 작성 기능을 제공합니다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[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성명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]~[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직위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]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셀을 더블클릭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하여 조회하세요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(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*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[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사용계획서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]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는 근로자 작성용 양식입니다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.)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CAF122F6-B33C-45DC-AD7B-2916DA81F6C4}"/>
              </a:ext>
            </a:extLst>
          </xdr:cNvPr>
          <xdr:cNvSpPr txBox="1"/>
        </xdr:nvSpPr>
        <xdr:spPr>
          <a:xfrm>
            <a:off x="7296148" y="1876427"/>
            <a:ext cx="4748931" cy="226800"/>
          </a:xfrm>
          <a:prstGeom prst="rect">
            <a:avLst/>
          </a:prstGeom>
          <a:gradFill flip="none" rotWithShape="1">
            <a:gsLst>
              <a:gs pos="0">
                <a:srgbClr val="42A877"/>
              </a:gs>
              <a:gs pos="90000">
                <a:schemeClr val="tx1"/>
              </a:gs>
            </a:gsLst>
            <a:lin ang="0" scaled="1"/>
            <a:tileRect/>
          </a:gra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000" b="0">
                <a:solidFill>
                  <a:schemeClr val="bg1"/>
                </a:solidFill>
              </a:rPr>
              <a:t>How to use </a:t>
            </a:r>
            <a:r>
              <a:rPr lang="en-US" altLang="ko-KR" sz="1000" b="1">
                <a:solidFill>
                  <a:schemeClr val="bg1"/>
                </a:solidFill>
              </a:rPr>
              <a:t>WORKSHEETS</a:t>
            </a:r>
            <a:endParaRPr lang="ko-KR" altLang="en-US" sz="1000" b="1">
              <a:solidFill>
                <a:schemeClr val="bg1"/>
              </a:solidFill>
            </a:endParaRPr>
          </a:p>
        </xdr:txBody>
      </xdr:sp>
      <xdr:sp macro="[0]!info96_1_Del" textlink="">
        <xdr:nvSpPr>
          <xdr:cNvPr id="5" name="TextBox 4">
            <a:extLst>
              <a:ext uri="{FF2B5EF4-FFF2-40B4-BE49-F238E27FC236}">
                <a16:creationId xmlns:a16="http://schemas.microsoft.com/office/drawing/2014/main" id="{B3888E35-FB80-400D-A4DD-F0FF54130B02}"/>
              </a:ext>
            </a:extLst>
          </xdr:cNvPr>
          <xdr:cNvSpPr txBox="1"/>
        </xdr:nvSpPr>
        <xdr:spPr>
          <a:xfrm>
            <a:off x="11772901" y="1866902"/>
            <a:ext cx="285751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</a:rPr>
              <a:t>X</a:t>
            </a:r>
            <a:endParaRPr lang="ko-KR" altLang="en-US" sz="1100" b="1">
              <a:solidFill>
                <a:schemeClr val="bg1"/>
              </a:solidFill>
            </a:endParaRPr>
          </a:p>
        </xdr:txBody>
      </xdr:sp>
    </xdr:grp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400050</xdr:colOff>
      <xdr:row>0</xdr:row>
      <xdr:rowOff>161925</xdr:rowOff>
    </xdr:from>
    <xdr:to>
      <xdr:col>14</xdr:col>
      <xdr:colOff>371477</xdr:colOff>
      <xdr:row>3</xdr:row>
      <xdr:rowOff>9525</xdr:rowOff>
    </xdr:to>
    <xdr:grpSp>
      <xdr:nvGrpSpPr>
        <xdr:cNvPr id="7" name="info96_1">
          <a:extLst>
            <a:ext uri="{FF2B5EF4-FFF2-40B4-BE49-F238E27FC236}">
              <a16:creationId xmlns:a16="http://schemas.microsoft.com/office/drawing/2014/main" id="{0653F0A8-8E96-4158-8821-EA5C7D7DB21D}"/>
            </a:ext>
          </a:extLst>
        </xdr:cNvPr>
        <xdr:cNvGrpSpPr/>
      </xdr:nvGrpSpPr>
      <xdr:grpSpPr>
        <a:xfrm>
          <a:off x="6972300" y="161925"/>
          <a:ext cx="4772027" cy="990600"/>
          <a:chOff x="7286625" y="1866901"/>
          <a:chExt cx="4772027" cy="990600"/>
        </a:xfrm>
      </xdr:grpSpPr>
      <xdr:sp macro="" textlink="">
        <xdr:nvSpPr>
          <xdr:cNvPr id="8" name="직사각형 7">
            <a:extLst>
              <a:ext uri="{FF2B5EF4-FFF2-40B4-BE49-F238E27FC236}">
                <a16:creationId xmlns:a16="http://schemas.microsoft.com/office/drawing/2014/main" id="{4288D0DB-B251-40BF-87B8-A07AECC2BC69}"/>
              </a:ext>
            </a:extLst>
          </xdr:cNvPr>
          <xdr:cNvSpPr/>
        </xdr:nvSpPr>
        <xdr:spPr>
          <a:xfrm>
            <a:off x="7286625" y="1866901"/>
            <a:ext cx="4762500" cy="990600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altLang="ko-KR" sz="1100">
              <a:solidFill>
                <a:sysClr val="windowText" lastClr="000000"/>
              </a:solidFill>
              <a:latin typeface="+mn-ea"/>
              <a:ea typeface="+mn-ea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[</a:t>
            </a:r>
            <a:r>
              <a:rPr kumimoji="0" lang="ko-KR" altLang="en-US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연차촉진통지서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]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, 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[</a:t>
            </a:r>
            <a:r>
              <a:rPr kumimoji="0" lang="ko-KR" altLang="en-US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지정통보서</a:t>
            </a:r>
            <a:r>
              <a:rPr kumimoji="0" lang="en-US" altLang="ko-KR" sz="9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]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는 사업장작성 양식으로 자동 작성 기능을 제공합니다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[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성명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]~[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직위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]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셀을 더블클릭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하여 조회하세요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(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*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 [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사용계획서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]</a:t>
            </a:r>
            <a:r>
              <a:rPr kumimoji="0" lang="ko-KR" altLang="en-US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는 근로자 작성용 양식입니다</a:t>
            </a:r>
            <a:r>
              <a: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rPr>
              <a:t>.)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B0A25C3C-0441-4EE0-A0A5-2B7793038047}"/>
              </a:ext>
            </a:extLst>
          </xdr:cNvPr>
          <xdr:cNvSpPr txBox="1"/>
        </xdr:nvSpPr>
        <xdr:spPr>
          <a:xfrm>
            <a:off x="7296148" y="1876427"/>
            <a:ext cx="4748931" cy="226800"/>
          </a:xfrm>
          <a:prstGeom prst="rect">
            <a:avLst/>
          </a:prstGeom>
          <a:gradFill flip="none" rotWithShape="1">
            <a:gsLst>
              <a:gs pos="0">
                <a:srgbClr val="42A877"/>
              </a:gs>
              <a:gs pos="90000">
                <a:schemeClr val="tx1"/>
              </a:gs>
            </a:gsLst>
            <a:lin ang="0" scaled="1"/>
            <a:tileRect/>
          </a:gra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000" b="0">
                <a:solidFill>
                  <a:schemeClr val="bg1"/>
                </a:solidFill>
              </a:rPr>
              <a:t>How to use </a:t>
            </a:r>
            <a:r>
              <a:rPr lang="en-US" altLang="ko-KR" sz="1000" b="1">
                <a:solidFill>
                  <a:schemeClr val="bg1"/>
                </a:solidFill>
              </a:rPr>
              <a:t>WORKSHEETS</a:t>
            </a:r>
            <a:endParaRPr lang="ko-KR" altLang="en-US" sz="1000" b="1">
              <a:solidFill>
                <a:schemeClr val="bg1"/>
              </a:solidFill>
            </a:endParaRPr>
          </a:p>
        </xdr:txBody>
      </xdr:sp>
      <xdr:sp macro="[0]!info96_1_Del" textlink="">
        <xdr:nvSpPr>
          <xdr:cNvPr id="10" name="TextBox 9">
            <a:extLst>
              <a:ext uri="{FF2B5EF4-FFF2-40B4-BE49-F238E27FC236}">
                <a16:creationId xmlns:a16="http://schemas.microsoft.com/office/drawing/2014/main" id="{FB0750FD-BE23-4D2D-AD20-261D8CA60533}"/>
              </a:ext>
            </a:extLst>
          </xdr:cNvPr>
          <xdr:cNvSpPr txBox="1"/>
        </xdr:nvSpPr>
        <xdr:spPr>
          <a:xfrm>
            <a:off x="11772901" y="1866902"/>
            <a:ext cx="285751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</a:rPr>
              <a:t>X</a:t>
            </a:r>
            <a:endParaRPr lang="ko-KR" altLang="en-US" sz="1100" b="1">
              <a:solidFill>
                <a:schemeClr val="bg1"/>
              </a:solidFill>
            </a:endParaRPr>
          </a:p>
        </xdr:txBody>
      </xdr:sp>
    </xdr:grpSp>
    <xdr:clientData fPrintsWithSheet="0"/>
  </xdr:twoCellAnchor>
  <xdr:twoCellAnchor editAs="absolute">
    <xdr:from>
      <xdr:col>4</xdr:col>
      <xdr:colOff>942975</xdr:colOff>
      <xdr:row>0</xdr:row>
      <xdr:rowOff>123825</xdr:rowOff>
    </xdr:from>
    <xdr:to>
      <xdr:col>6</xdr:col>
      <xdr:colOff>81481</xdr:colOff>
      <xdr:row>0</xdr:row>
      <xdr:rowOff>447825</xdr:rowOff>
    </xdr:to>
    <xdr:grpSp>
      <xdr:nvGrpSpPr>
        <xdr:cNvPr id="11" name="그룹 10">
          <a:extLst>
            <a:ext uri="{FF2B5EF4-FFF2-40B4-BE49-F238E27FC236}">
              <a16:creationId xmlns:a16="http://schemas.microsoft.com/office/drawing/2014/main" id="{83C2E81D-70EA-4DEF-849F-99B02241A0BB}"/>
            </a:ext>
          </a:extLst>
        </xdr:cNvPr>
        <xdr:cNvGrpSpPr/>
      </xdr:nvGrpSpPr>
      <xdr:grpSpPr>
        <a:xfrm>
          <a:off x="5324475" y="123825"/>
          <a:ext cx="1234006" cy="324000"/>
          <a:chOff x="8629650" y="2190750"/>
          <a:chExt cx="1234006" cy="324000"/>
        </a:xfrm>
      </xdr:grpSpPr>
      <xdr:sp macro="[0]!sh98_XLSX" textlink="">
        <xdr:nvSpPr>
          <xdr:cNvPr id="12" name="TextBox 11">
            <a:extLst>
              <a:ext uri="{FF2B5EF4-FFF2-40B4-BE49-F238E27FC236}">
                <a16:creationId xmlns:a16="http://schemas.microsoft.com/office/drawing/2014/main" id="{CE73A836-791A-4B19-A134-9A7449C0E35E}"/>
              </a:ext>
            </a:extLst>
          </xdr:cNvPr>
          <xdr:cNvSpPr txBox="1"/>
        </xdr:nvSpPr>
        <xdr:spPr>
          <a:xfrm>
            <a:off x="8675656" y="2213935"/>
            <a:ext cx="1188000" cy="288000"/>
          </a:xfrm>
          <a:prstGeom prst="rect">
            <a:avLst/>
          </a:prstGeom>
          <a:noFill/>
          <a:ln w="9525" cmpd="sng">
            <a:noFill/>
          </a:ln>
          <a:effectLst>
            <a:outerShdw blurRad="50800" dist="38100" dir="2700000" algn="tl" rotWithShape="0">
              <a:schemeClr val="tx1">
                <a:lumMod val="50000"/>
                <a:lumOff val="50000"/>
                <a:alpha val="40000"/>
              </a:scheme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ko-KR" altLang="en-US" sz="900" b="1">
                <a:solidFill>
                  <a:srgbClr val="825142"/>
                </a:solidFill>
              </a:rPr>
              <a:t>내보내기</a:t>
            </a:r>
            <a:r>
              <a:rPr lang="en-US" altLang="ko-KR" sz="900" b="1">
                <a:solidFill>
                  <a:srgbClr val="825142"/>
                </a:solidFill>
              </a:rPr>
              <a:t>(XLSX)</a:t>
            </a:r>
            <a:endParaRPr lang="ko-KR" altLang="en-US" sz="900" b="1">
              <a:solidFill>
                <a:srgbClr val="825142"/>
              </a:solidFill>
            </a:endParaRPr>
          </a:p>
        </xdr:txBody>
      </xdr:sp>
      <xdr:sp macro="[0]!sh98_XLSX" textlink="">
        <xdr:nvSpPr>
          <xdr:cNvPr id="13" name="타원 12">
            <a:extLst>
              <a:ext uri="{FF2B5EF4-FFF2-40B4-BE49-F238E27FC236}">
                <a16:creationId xmlns:a16="http://schemas.microsoft.com/office/drawing/2014/main" id="{8C2F6C3B-97C5-44BD-8B0B-A55792266DC2}"/>
              </a:ext>
            </a:extLst>
          </xdr:cNvPr>
          <xdr:cNvSpPr/>
        </xdr:nvSpPr>
        <xdr:spPr>
          <a:xfrm>
            <a:off x="8629650" y="2190750"/>
            <a:ext cx="324000" cy="324000"/>
          </a:xfrm>
          <a:prstGeom prst="ellipse">
            <a:avLst/>
          </a:prstGeom>
          <a:gradFill>
            <a:gsLst>
              <a:gs pos="50000">
                <a:srgbClr val="825142"/>
              </a:gs>
              <a:gs pos="100000">
                <a:srgbClr val="AA6E5A"/>
              </a:gs>
            </a:gsLst>
            <a:lin ang="5400000" scaled="1"/>
          </a:gradFill>
          <a:ln w="12700">
            <a:solidFill>
              <a:srgbClr val="825142"/>
            </a:solidFill>
          </a:ln>
          <a:effectLst>
            <a:outerShdw blurRad="50800" dist="38100" dir="2700000" algn="tl" rotWithShape="0">
              <a:schemeClr val="tx1">
                <a:lumMod val="50000"/>
                <a:lumOff val="5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98_XLSX">
        <xdr:nvPicPr>
          <xdr:cNvPr id="14" name="그래픽 13" descr="공유">
            <a:extLst>
              <a:ext uri="{FF2B5EF4-FFF2-40B4-BE49-F238E27FC236}">
                <a16:creationId xmlns:a16="http://schemas.microsoft.com/office/drawing/2014/main" id="{A460DC39-B475-4C45-A680-1D7565E48F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677275" y="2219325"/>
            <a:ext cx="266400" cy="266400"/>
          </a:xfrm>
          <a:prstGeom prst="rect">
            <a:avLst/>
          </a:prstGeom>
        </xdr:spPr>
      </xdr:pic>
    </xdr:grp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4F053E-2F9F-4E42-B8E6-8E0CFE435057}" name="표1" displayName="표1" ref="B5:D25" totalsRowShown="0" headerRowDxfId="86" dataDxfId="84" headerRowBorderDxfId="85">
  <tableColumns count="3">
    <tableColumn id="1" xr3:uid="{2B900052-7DF0-4389-911C-120ECADBF772}" name="휴가구분" dataDxfId="83"/>
    <tableColumn id="2" xr3:uid="{A767B942-E73F-4E35-BE5D-CC42B9AE24A4}" name="기준일수(회)" dataDxfId="82"/>
    <tableColumn id="3" xr3:uid="{320B83BD-0EEC-4874-9BD4-2AFB2FA1E2CD}" name="연차사용" dataDxfId="81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9C833A-6612-4515-877F-C9675D2D9D55}" name="표2" displayName="표2" ref="F5:G80" totalsRowShown="0" headerRowDxfId="80" dataDxfId="78" headerRowBorderDxfId="79" tableBorderDxfId="77">
  <tableColumns count="2">
    <tableColumn id="1" xr3:uid="{3E9863A5-8CF2-4E5C-ABE0-E762201BEFA0}" name="공휴일" dataDxfId="76"/>
    <tableColumn id="2" xr3:uid="{B67948E7-0DC2-4D3C-B374-8045A0247E9C}" name="사유" dataDxfId="75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B550312-0E2B-4DA4-9E36-1EAE2850899F}" name="표3" displayName="표3" ref="B6:AC466" totalsRowShown="0" headerRowDxfId="64" dataDxfId="62" headerRowBorderDxfId="63">
  <tableColumns count="28">
    <tableColumn id="1" xr3:uid="{930CEA7B-7C1B-4D0D-BFCE-6A3E792BBDAB}" name="*성명" dataDxfId="61"/>
    <tableColumn id="2" xr3:uid="{30C742CD-068D-4EF5-80C6-03550A08F560}" name="부서" dataDxfId="60"/>
    <tableColumn id="3" xr3:uid="{00C5D581-8EDD-4847-86AD-BB356F158644}" name="직위" dataDxfId="59"/>
    <tableColumn id="4" xr3:uid="{940530AC-A1D5-40DD-AC16-AD529059271B}" name="*입사일" dataDxfId="58"/>
    <tableColumn id="5" xr3:uid="{35729248-B52C-47AB-AA73-EA6E789D28BB}" name="통상임금(월)" dataDxfId="57"/>
    <tableColumn id="6" xr3:uid="{3503E442-1C02-4372-80A6-E2F32CA5225A}" name="퇴사일" dataDxfId="56"/>
    <tableColumn id="7" xr3:uid="{F3F871DE-0ED9-4A8E-BEC3-6A9D6259284F}" name="연차사용기간" dataDxfId="55"/>
    <tableColumn id="8" xr3:uid="{BC319473-9E55-4FD2-A7BD-D9CA83ADE9B5}" name="발생연차" dataDxfId="54"/>
    <tableColumn id="9" xr3:uid="{0A473551-7571-4B5C-9FC9-A10F63E79EAF}" name="추가" dataDxfId="53"/>
    <tableColumn id="10" xr3:uid="{5DB2A4B4-9537-4542-96A4-19ADF5017A4F}" name="공제" dataDxfId="52"/>
    <tableColumn id="11" xr3:uid="{7BA80662-DF08-4640-871B-867AFBE98BD4}" name="총연차" dataDxfId="51">
      <calculatedColumnFormula>표3[[#This Row],[발생연차]]+표3[[#This Row],[추가]]-표3[[#This Row],[공제]]</calculatedColumnFormula>
    </tableColumn>
    <tableColumn id="12" xr3:uid="{C55BC5AC-C3E8-49D6-823C-FA2F7AC23826}" name="사용분" dataDxfId="50"/>
    <tableColumn id="13" xr3:uid="{C387CCB4-7309-4FE7-8F73-D0D04A31E736}" name="연차수당분" dataDxfId="49"/>
    <tableColumn id="14" xr3:uid="{DFAD7AA5-FA51-42AB-8C18-8BA8A2ED8065}" name="잔여" dataDxfId="48">
      <calculatedColumnFormula>표3[[#This Row],[총연차]]-표3[[#This Row],[사용분]]-표3[[#This Row],[연차수당분]]</calculatedColumnFormula>
    </tableColumn>
    <tableColumn id="15" xr3:uid="{43820045-4BEB-4CEA-9263-562C5D378CF9}" name="1월" dataDxfId="47"/>
    <tableColumn id="16" xr3:uid="{B14A9650-F331-4A93-B3FF-A1593D36B82F}" name="2월" dataDxfId="46"/>
    <tableColumn id="17" xr3:uid="{1C0F33F6-FC86-4A66-A00F-5B4EEFF10F67}" name="3월" dataDxfId="45"/>
    <tableColumn id="18" xr3:uid="{B7C4842B-0C57-4308-A3C0-96944159C6FC}" name="4월" dataDxfId="44"/>
    <tableColumn id="19" xr3:uid="{CCA892A2-F41B-4EAA-B892-0A5082E5638E}" name="5월" dataDxfId="43"/>
    <tableColumn id="20" xr3:uid="{AD36EB0F-8687-42AA-8ACF-AE000ED815A2}" name="6월" dataDxfId="42"/>
    <tableColumn id="21" xr3:uid="{17650E8C-1ADF-4136-95C4-93802A50F1CF}" name="7월" dataDxfId="41"/>
    <tableColumn id="22" xr3:uid="{5588A564-956B-4D91-AD4D-2B67B8BC47D6}" name="8월" dataDxfId="40"/>
    <tableColumn id="23" xr3:uid="{A5B8FD7A-A165-43DE-B47D-7799FF938EEA}" name="9월" dataDxfId="39"/>
    <tableColumn id="24" xr3:uid="{A2A246F0-ED29-41F5-B38F-0EA92B054F6E}" name="10월" dataDxfId="38"/>
    <tableColumn id="25" xr3:uid="{56F502F6-096B-4ED5-9F05-DF33CD210B44}" name="11월" dataDxfId="37"/>
    <tableColumn id="26" xr3:uid="{9A5AE4DE-5A2C-4134-8B9B-73D4D68898EC}" name="12월" dataDxfId="36"/>
    <tableColumn id="27" xr3:uid="{29FED7E5-DCA2-4177-9E18-C7ECF736211B}" name="합계" dataDxfId="35">
      <calculatedColumnFormula>SUM(표3[[#This Row],[1월]:[12월]])</calculatedColumnFormula>
    </tableColumn>
    <tableColumn id="28" xr3:uid="{9FBE1026-4A6E-4177-81DD-CBCD4D0E7D6E}" name="연차수당 지급액" dataDxfId="34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FDC3C9C-C4BA-4C06-9859-2B874ACD258C}" name="표6" displayName="표6" ref="B2:H179" totalsRowShown="0" headerRowDxfId="33" dataDxfId="31" headerRowBorderDxfId="32">
  <autoFilter ref="B2:H179" xr:uid="{FFDC3C9C-C4BA-4C06-9859-2B874ACD258C}"/>
  <tableColumns count="7">
    <tableColumn id="1" xr3:uid="{B0026B57-E1C6-4907-80FE-B94B7FC5648B}" name="성명" dataDxfId="30"/>
    <tableColumn id="2" xr3:uid="{C26C3522-5E32-40C2-8FEF-49E53B20269C}" name="부서" dataDxfId="29"/>
    <tableColumn id="3" xr3:uid="{B0AA933F-2334-4293-B184-D5B620BFDBDE}" name="직위" dataDxfId="28"/>
    <tableColumn id="4" xr3:uid="{94622CE3-EDE3-4AE3-8682-46312E24FDA8}" name="적용연도" dataDxfId="27"/>
    <tableColumn id="5" xr3:uid="{2311BCEE-19AE-48CE-B49C-6F4DA238B790}" name="추가일수" dataDxfId="26"/>
    <tableColumn id="6" xr3:uid="{0332452F-A676-46AE-B21B-64B9E193F225}" name="공제일수" dataDxfId="25"/>
    <tableColumn id="7" xr3:uid="{66E4BD5A-4DD3-426F-9280-8F325DA2774E}" name="사유" dataDxfId="24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019E7F-A47B-475F-A461-7DD1B192ECE8}" name="표4" displayName="표4" ref="B2:J1343" totalsRowShown="0" headerRowDxfId="23" dataDxfId="21" headerRowBorderDxfId="22">
  <autoFilter ref="B2:J1343" xr:uid="{C8019E7F-A47B-475F-A461-7DD1B192ECE8}"/>
  <sortState xmlns:xlrd2="http://schemas.microsoft.com/office/spreadsheetml/2017/richdata2" ref="B3:J90">
    <sortCondition ref="B2:B90"/>
  </sortState>
  <tableColumns count="9">
    <tableColumn id="1" xr3:uid="{6D4CF1EB-227B-4507-8A06-B2DB19D06C5A}" name="성명" dataDxfId="20"/>
    <tableColumn id="2" xr3:uid="{483289A7-B3E1-442C-B0E3-236E1397D392}" name="부서" dataDxfId="19"/>
    <tableColumn id="3" xr3:uid="{F9D511B6-081B-4C33-ACD8-EA642378019B}" name="직위" dataDxfId="18"/>
    <tableColumn id="4" xr3:uid="{D902E29A-8B0B-4C09-A03E-11F3F4FC34F5}" name="휴가항목" dataDxfId="17"/>
    <tableColumn id="5" xr3:uid="{2D686D0A-20AF-4E7A-AC87-2F187A6A1AE6}" name="사용일자" dataDxfId="16"/>
    <tableColumn id="6" xr3:uid="{D8ECFBCB-F38C-4573-B46C-8F7FB0A855FB}" name="휴가일수(연차외)" dataDxfId="15"/>
    <tableColumn id="7" xr3:uid="{FFB7B0AE-A53A-49BD-866B-FB1B5C96BA98}" name="연차일수" dataDxfId="14"/>
    <tableColumn id="8" xr3:uid="{F71714D9-742B-4485-A8FC-C416E471BFE2}" name="사유" dataDxfId="13"/>
    <tableColumn id="9" xr3:uid="{916B6FF1-E6CF-46B7-B5E2-ED25AFF3DF13}" name="비고" dataDxfId="1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A43BD18-98EA-4969-9B56-4F688A8EFD7B}" name="표5" displayName="표5" ref="B2:J22" totalsRowShown="0" headerRowDxfId="11" dataDxfId="9" headerRowBorderDxfId="10">
  <tableColumns count="9">
    <tableColumn id="1" xr3:uid="{1229D08E-6E05-4BD5-AB0C-E63FF708EC8C}" name="성명" dataDxfId="8"/>
    <tableColumn id="2" xr3:uid="{23766346-0646-4EA4-9C5E-BB148A14EFD3}" name="부서" dataDxfId="7"/>
    <tableColumn id="3" xr3:uid="{2EA0340A-069C-4320-B37F-ED24FCAF5713}" name="직위" dataDxfId="6"/>
    <tableColumn id="4" xr3:uid="{A3C92AC7-5D45-4712-837C-A16781C51900}" name="지급일" dataDxfId="5"/>
    <tableColumn id="5" xr3:uid="{76907780-1ED2-4391-89EE-A573B046FB97}" name="연차수당(일)" dataDxfId="4"/>
    <tableColumn id="6" xr3:uid="{42CF4AF7-7C80-47B1-BA97-5527E2547C4E}" name="정산일수" dataDxfId="3"/>
    <tableColumn id="7" xr3:uid="{5C7C4826-BCDB-454A-8E9B-906C6F45E744}" name="지급액" dataDxfId="2"/>
    <tableColumn id="8" xr3:uid="{E8722350-E74A-4CAE-BEE8-508E1D348980}" name="연차사용처리" dataDxfId="1"/>
    <tableColumn id="9" xr3:uid="{7E823F8E-A601-4417-8AC8-89B68715A49E}" name="비고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A705-AC17-43DB-91D1-D6DE4B572836}">
  <sheetPr codeName="Sheet1">
    <pageSetUpPr autoPageBreaks="0"/>
  </sheetPr>
  <dimension ref="B1:H75"/>
  <sheetViews>
    <sheetView showGridLines="0" showZeros="0" workbookViewId="0">
      <selection activeCell="B13" sqref="B13"/>
    </sheetView>
  </sheetViews>
  <sheetFormatPr defaultColWidth="9" defaultRowHeight="21" customHeight="1" x14ac:dyDescent="0.3"/>
  <cols>
    <col min="1" max="1" width="1.25" style="1" customWidth="1"/>
    <col min="2" max="2" width="15" style="13" customWidth="1"/>
    <col min="3" max="3" width="12.5" style="13" customWidth="1"/>
    <col min="4" max="4" width="8.75" style="13" customWidth="1"/>
    <col min="5" max="5" width="9" style="1"/>
    <col min="6" max="6" width="11.25" style="15" customWidth="1"/>
    <col min="7" max="7" width="20" style="13" customWidth="1"/>
    <col min="8" max="16384" width="9" style="1"/>
  </cols>
  <sheetData>
    <row r="1" spans="2:8" ht="37.5" customHeight="1" x14ac:dyDescent="0.3">
      <c r="B1" s="9" t="s">
        <v>0</v>
      </c>
      <c r="C1" s="1"/>
      <c r="D1" s="1"/>
      <c r="F1" s="1"/>
      <c r="G1" s="1"/>
    </row>
    <row r="2" spans="2:8" ht="26.25" customHeight="1" x14ac:dyDescent="0.3">
      <c r="B2" s="12" t="s">
        <v>1</v>
      </c>
      <c r="C2" s="224">
        <v>1</v>
      </c>
      <c r="D2" s="225"/>
      <c r="F2" s="1"/>
      <c r="G2" s="1"/>
    </row>
    <row r="3" spans="2:8" ht="21" customHeight="1" x14ac:dyDescent="0.3">
      <c r="B3" s="1"/>
      <c r="C3" s="1"/>
      <c r="D3" s="1"/>
      <c r="F3" s="1"/>
      <c r="G3" s="1"/>
    </row>
    <row r="4" spans="2:8" ht="21" customHeight="1" x14ac:dyDescent="0.3">
      <c r="B4" s="4" t="s">
        <v>5</v>
      </c>
      <c r="C4" s="1"/>
      <c r="D4" s="1"/>
      <c r="F4" s="4" t="s">
        <v>6</v>
      </c>
      <c r="G4" s="1"/>
    </row>
    <row r="5" spans="2:8" ht="22.5" customHeight="1" thickBot="1" x14ac:dyDescent="0.35">
      <c r="B5" s="10" t="s">
        <v>2</v>
      </c>
      <c r="C5" s="10" t="s">
        <v>94</v>
      </c>
      <c r="D5" s="10" t="s">
        <v>22</v>
      </c>
      <c r="F5" s="10" t="s">
        <v>3</v>
      </c>
      <c r="G5" s="10" t="s">
        <v>4</v>
      </c>
      <c r="H5" s="2"/>
    </row>
    <row r="6" spans="2:8" ht="21" customHeight="1" x14ac:dyDescent="0.3">
      <c r="B6" s="13" t="s">
        <v>79</v>
      </c>
      <c r="C6" s="13">
        <v>1</v>
      </c>
      <c r="D6" s="14" t="s">
        <v>80</v>
      </c>
      <c r="F6" s="15">
        <v>44197</v>
      </c>
      <c r="G6" s="13" t="s">
        <v>211</v>
      </c>
    </row>
    <row r="7" spans="2:8" ht="21" customHeight="1" x14ac:dyDescent="0.3">
      <c r="B7" s="13" t="s">
        <v>81</v>
      </c>
      <c r="C7" s="13">
        <v>0.5</v>
      </c>
      <c r="D7" s="14" t="s">
        <v>80</v>
      </c>
      <c r="F7" s="15">
        <v>44238</v>
      </c>
      <c r="G7" s="13" t="s">
        <v>212</v>
      </c>
    </row>
    <row r="8" spans="2:8" ht="21" customHeight="1" x14ac:dyDescent="0.3">
      <c r="B8" s="13" t="s">
        <v>82</v>
      </c>
      <c r="C8" s="13">
        <v>0.5</v>
      </c>
      <c r="D8" s="14"/>
      <c r="F8" s="15">
        <v>44239</v>
      </c>
      <c r="G8" s="13" t="s">
        <v>212</v>
      </c>
    </row>
    <row r="9" spans="2:8" ht="21" customHeight="1" x14ac:dyDescent="0.3">
      <c r="B9" s="13" t="s">
        <v>83</v>
      </c>
      <c r="C9" s="13">
        <v>0.25</v>
      </c>
      <c r="D9" s="14"/>
      <c r="F9" s="15">
        <v>44240</v>
      </c>
      <c r="G9" s="13" t="s">
        <v>212</v>
      </c>
    </row>
    <row r="10" spans="2:8" ht="21" customHeight="1" x14ac:dyDescent="0.3">
      <c r="B10" s="13" t="s">
        <v>84</v>
      </c>
      <c r="C10" s="13">
        <v>0.25</v>
      </c>
      <c r="D10" s="14"/>
      <c r="F10" s="15">
        <v>44256</v>
      </c>
      <c r="G10" s="13" t="s">
        <v>87</v>
      </c>
    </row>
    <row r="11" spans="2:8" ht="21" customHeight="1" x14ac:dyDescent="0.3">
      <c r="B11" s="13" t="s">
        <v>85</v>
      </c>
      <c r="C11" s="13">
        <v>1</v>
      </c>
      <c r="D11" s="14"/>
      <c r="F11" s="15">
        <v>44321</v>
      </c>
      <c r="G11" s="13" t="s">
        <v>88</v>
      </c>
    </row>
    <row r="12" spans="2:8" ht="21" customHeight="1" x14ac:dyDescent="0.3">
      <c r="B12" s="13" t="s">
        <v>86</v>
      </c>
      <c r="C12" s="13">
        <v>1</v>
      </c>
      <c r="D12" s="14"/>
      <c r="F12" s="15">
        <v>44335</v>
      </c>
      <c r="G12" s="13" t="s">
        <v>89</v>
      </c>
    </row>
    <row r="13" spans="2:8" ht="21" customHeight="1" x14ac:dyDescent="0.3">
      <c r="D13" s="14"/>
      <c r="F13" s="15">
        <v>44353</v>
      </c>
      <c r="G13" s="13" t="s">
        <v>90</v>
      </c>
    </row>
    <row r="14" spans="2:8" ht="21" customHeight="1" x14ac:dyDescent="0.3">
      <c r="D14" s="14"/>
      <c r="F14" s="15">
        <v>44423</v>
      </c>
      <c r="G14" s="13" t="s">
        <v>91</v>
      </c>
    </row>
    <row r="15" spans="2:8" ht="21" customHeight="1" x14ac:dyDescent="0.3">
      <c r="D15" s="14"/>
      <c r="F15" s="15">
        <v>44459</v>
      </c>
      <c r="G15" s="13" t="s">
        <v>213</v>
      </c>
    </row>
    <row r="16" spans="2:8" ht="21" customHeight="1" x14ac:dyDescent="0.3">
      <c r="D16" s="14"/>
      <c r="F16" s="15">
        <v>44460</v>
      </c>
      <c r="G16" s="13" t="s">
        <v>213</v>
      </c>
    </row>
    <row r="17" spans="4:7" ht="21" customHeight="1" x14ac:dyDescent="0.3">
      <c r="D17" s="14"/>
      <c r="F17" s="15">
        <v>44461</v>
      </c>
      <c r="G17" s="13" t="s">
        <v>213</v>
      </c>
    </row>
    <row r="18" spans="4:7" ht="21" customHeight="1" x14ac:dyDescent="0.3">
      <c r="D18" s="14"/>
      <c r="F18" s="15">
        <v>44472</v>
      </c>
      <c r="G18" s="13" t="s">
        <v>92</v>
      </c>
    </row>
    <row r="19" spans="4:7" ht="21" customHeight="1" x14ac:dyDescent="0.3">
      <c r="D19" s="14"/>
      <c r="F19" s="15">
        <v>44478</v>
      </c>
      <c r="G19" s="13" t="s">
        <v>93</v>
      </c>
    </row>
    <row r="20" spans="4:7" ht="21" customHeight="1" x14ac:dyDescent="0.3">
      <c r="D20" s="14"/>
      <c r="F20" s="15">
        <v>44555</v>
      </c>
      <c r="G20" s="13" t="s">
        <v>214</v>
      </c>
    </row>
    <row r="21" spans="4:7" ht="21" customHeight="1" x14ac:dyDescent="0.3">
      <c r="D21" s="14"/>
      <c r="F21" s="15">
        <v>44562</v>
      </c>
      <c r="G21" s="13" t="s">
        <v>211</v>
      </c>
    </row>
    <row r="22" spans="4:7" ht="21" customHeight="1" x14ac:dyDescent="0.3">
      <c r="D22" s="14"/>
      <c r="F22" s="15">
        <v>44592</v>
      </c>
      <c r="G22" s="13" t="s">
        <v>212</v>
      </c>
    </row>
    <row r="23" spans="4:7" ht="21" customHeight="1" x14ac:dyDescent="0.3">
      <c r="D23" s="14"/>
      <c r="F23" s="15">
        <v>44593</v>
      </c>
      <c r="G23" s="13" t="s">
        <v>212</v>
      </c>
    </row>
    <row r="24" spans="4:7" ht="21" customHeight="1" x14ac:dyDescent="0.3">
      <c r="D24" s="14"/>
      <c r="F24" s="15">
        <v>44594</v>
      </c>
      <c r="G24" s="13" t="s">
        <v>212</v>
      </c>
    </row>
    <row r="25" spans="4:7" ht="21" customHeight="1" x14ac:dyDescent="0.3">
      <c r="D25" s="14"/>
      <c r="F25" s="15">
        <v>44621</v>
      </c>
      <c r="G25" s="13" t="s">
        <v>87</v>
      </c>
    </row>
    <row r="26" spans="4:7" ht="21" customHeight="1" x14ac:dyDescent="0.3">
      <c r="F26" s="15">
        <v>44629</v>
      </c>
      <c r="G26" s="13" t="s">
        <v>296</v>
      </c>
    </row>
    <row r="27" spans="4:7" ht="21" customHeight="1" x14ac:dyDescent="0.3">
      <c r="F27" s="15">
        <v>44686</v>
      </c>
      <c r="G27" s="13" t="s">
        <v>88</v>
      </c>
    </row>
    <row r="28" spans="4:7" ht="21" customHeight="1" x14ac:dyDescent="0.3">
      <c r="F28" s="15">
        <v>44689</v>
      </c>
      <c r="G28" s="13" t="s">
        <v>89</v>
      </c>
    </row>
    <row r="29" spans="4:7" ht="21" customHeight="1" x14ac:dyDescent="0.3">
      <c r="F29" s="15">
        <v>44713</v>
      </c>
      <c r="G29" s="13" t="s">
        <v>297</v>
      </c>
    </row>
    <row r="30" spans="4:7" ht="21" customHeight="1" x14ac:dyDescent="0.3">
      <c r="F30" s="15">
        <v>44718</v>
      </c>
      <c r="G30" s="13" t="s">
        <v>90</v>
      </c>
    </row>
    <row r="31" spans="4:7" ht="21" customHeight="1" x14ac:dyDescent="0.3">
      <c r="F31" s="15">
        <v>44788</v>
      </c>
      <c r="G31" s="13" t="s">
        <v>91</v>
      </c>
    </row>
    <row r="32" spans="4:7" ht="21" customHeight="1" x14ac:dyDescent="0.3">
      <c r="F32" s="15">
        <v>44813</v>
      </c>
      <c r="G32" s="13" t="s">
        <v>213</v>
      </c>
    </row>
    <row r="33" spans="6:7" ht="21" customHeight="1" x14ac:dyDescent="0.3">
      <c r="F33" s="15">
        <v>44814</v>
      </c>
      <c r="G33" s="13" t="s">
        <v>213</v>
      </c>
    </row>
    <row r="34" spans="6:7" ht="21" customHeight="1" x14ac:dyDescent="0.3">
      <c r="F34" s="15">
        <v>44815</v>
      </c>
      <c r="G34" s="13" t="s">
        <v>213</v>
      </c>
    </row>
    <row r="35" spans="6:7" ht="21" customHeight="1" x14ac:dyDescent="0.3">
      <c r="F35" s="15">
        <v>44816</v>
      </c>
      <c r="G35" s="13" t="s">
        <v>298</v>
      </c>
    </row>
    <row r="36" spans="6:7" ht="21" customHeight="1" x14ac:dyDescent="0.3">
      <c r="F36" s="15">
        <v>44837</v>
      </c>
      <c r="G36" s="13" t="s">
        <v>92</v>
      </c>
    </row>
    <row r="37" spans="6:7" ht="21" customHeight="1" x14ac:dyDescent="0.3">
      <c r="F37" s="15">
        <v>44843</v>
      </c>
      <c r="G37" s="13" t="s">
        <v>93</v>
      </c>
    </row>
    <row r="38" spans="6:7" ht="21" customHeight="1" x14ac:dyDescent="0.3">
      <c r="F38" s="15">
        <v>44844</v>
      </c>
      <c r="G38" s="13" t="s">
        <v>298</v>
      </c>
    </row>
    <row r="39" spans="6:7" ht="21" customHeight="1" x14ac:dyDescent="0.3">
      <c r="F39" s="15">
        <v>44920</v>
      </c>
      <c r="G39" s="13" t="s">
        <v>214</v>
      </c>
    </row>
    <row r="40" spans="6:7" ht="21" customHeight="1" x14ac:dyDescent="0.3">
      <c r="F40" s="15">
        <v>44927</v>
      </c>
      <c r="G40" s="13" t="s">
        <v>211</v>
      </c>
    </row>
    <row r="41" spans="6:7" ht="21" customHeight="1" x14ac:dyDescent="0.3">
      <c r="F41" s="15">
        <v>44947</v>
      </c>
      <c r="G41" s="13" t="s">
        <v>212</v>
      </c>
    </row>
    <row r="42" spans="6:7" ht="21" customHeight="1" x14ac:dyDescent="0.3">
      <c r="F42" s="15">
        <v>44948</v>
      </c>
      <c r="G42" s="13" t="s">
        <v>212</v>
      </c>
    </row>
    <row r="43" spans="6:7" ht="21" customHeight="1" x14ac:dyDescent="0.3">
      <c r="F43" s="15">
        <v>44949</v>
      </c>
      <c r="G43" s="13" t="s">
        <v>212</v>
      </c>
    </row>
    <row r="44" spans="6:7" ht="21" customHeight="1" x14ac:dyDescent="0.3">
      <c r="F44" s="15">
        <v>44950</v>
      </c>
      <c r="G44" s="13" t="s">
        <v>298</v>
      </c>
    </row>
    <row r="45" spans="6:7" ht="21" customHeight="1" x14ac:dyDescent="0.3">
      <c r="F45" s="15">
        <v>44986</v>
      </c>
      <c r="G45" s="13" t="s">
        <v>87</v>
      </c>
    </row>
    <row r="46" spans="6:7" ht="21" customHeight="1" x14ac:dyDescent="0.3">
      <c r="F46" s="15">
        <v>45051</v>
      </c>
      <c r="G46" s="13" t="s">
        <v>88</v>
      </c>
    </row>
    <row r="47" spans="6:7" ht="21" customHeight="1" x14ac:dyDescent="0.3">
      <c r="F47" s="15">
        <v>45073</v>
      </c>
      <c r="G47" s="13" t="s">
        <v>89</v>
      </c>
    </row>
    <row r="48" spans="6:7" ht="21" customHeight="1" x14ac:dyDescent="0.3">
      <c r="F48" s="15">
        <v>45075</v>
      </c>
      <c r="G48" s="13" t="s">
        <v>298</v>
      </c>
    </row>
    <row r="49" spans="6:7" ht="21" customHeight="1" x14ac:dyDescent="0.3">
      <c r="F49" s="15">
        <v>45083</v>
      </c>
      <c r="G49" s="13" t="s">
        <v>90</v>
      </c>
    </row>
    <row r="50" spans="6:7" ht="21" customHeight="1" x14ac:dyDescent="0.3">
      <c r="F50" s="15">
        <v>45153</v>
      </c>
      <c r="G50" s="13" t="s">
        <v>91</v>
      </c>
    </row>
    <row r="51" spans="6:7" ht="21" customHeight="1" x14ac:dyDescent="0.3">
      <c r="F51" s="15">
        <v>45197</v>
      </c>
      <c r="G51" s="13" t="s">
        <v>213</v>
      </c>
    </row>
    <row r="52" spans="6:7" ht="21" customHeight="1" x14ac:dyDescent="0.3">
      <c r="F52" s="15">
        <v>45198</v>
      </c>
      <c r="G52" s="13" t="s">
        <v>213</v>
      </c>
    </row>
    <row r="53" spans="6:7" ht="21" customHeight="1" x14ac:dyDescent="0.3">
      <c r="F53" s="15">
        <v>45199</v>
      </c>
      <c r="G53" s="13" t="s">
        <v>213</v>
      </c>
    </row>
    <row r="54" spans="6:7" ht="21" customHeight="1" x14ac:dyDescent="0.3">
      <c r="F54" s="15">
        <v>45202</v>
      </c>
      <c r="G54" s="13" t="s">
        <v>92</v>
      </c>
    </row>
    <row r="55" spans="6:7" ht="21" customHeight="1" x14ac:dyDescent="0.3">
      <c r="F55" s="15">
        <v>45208</v>
      </c>
      <c r="G55" s="13" t="s">
        <v>93</v>
      </c>
    </row>
    <row r="56" spans="6:7" ht="21" customHeight="1" x14ac:dyDescent="0.3">
      <c r="F56" s="15">
        <v>45285</v>
      </c>
      <c r="G56" s="13" t="s">
        <v>214</v>
      </c>
    </row>
    <row r="57" spans="6:7" ht="21" customHeight="1" x14ac:dyDescent="0.3">
      <c r="F57" s="15">
        <v>45292</v>
      </c>
      <c r="G57" s="13" t="s">
        <v>211</v>
      </c>
    </row>
    <row r="58" spans="6:7" ht="21" customHeight="1" x14ac:dyDescent="0.3">
      <c r="F58" s="15">
        <v>45331</v>
      </c>
      <c r="G58" s="13" t="s">
        <v>212</v>
      </c>
    </row>
    <row r="59" spans="6:7" ht="21" customHeight="1" x14ac:dyDescent="0.3">
      <c r="F59" s="15">
        <v>45332</v>
      </c>
      <c r="G59" s="13" t="s">
        <v>212</v>
      </c>
    </row>
    <row r="60" spans="6:7" ht="21" customHeight="1" x14ac:dyDescent="0.3">
      <c r="F60" s="15">
        <v>45333</v>
      </c>
      <c r="G60" s="13" t="s">
        <v>212</v>
      </c>
    </row>
    <row r="61" spans="6:7" ht="21" customHeight="1" x14ac:dyDescent="0.3">
      <c r="F61" s="15">
        <v>45334</v>
      </c>
      <c r="G61" s="13" t="s">
        <v>365</v>
      </c>
    </row>
    <row r="62" spans="6:7" ht="21" customHeight="1" x14ac:dyDescent="0.3">
      <c r="F62" s="15">
        <v>45352</v>
      </c>
      <c r="G62" s="13" t="s">
        <v>87</v>
      </c>
    </row>
    <row r="63" spans="6:7" ht="21" customHeight="1" x14ac:dyDescent="0.3">
      <c r="F63" s="15">
        <v>45392</v>
      </c>
      <c r="G63" s="13" t="s">
        <v>366</v>
      </c>
    </row>
    <row r="64" spans="6:7" ht="21" customHeight="1" x14ac:dyDescent="0.3">
      <c r="F64" s="15">
        <v>45417</v>
      </c>
      <c r="G64" s="13" t="s">
        <v>88</v>
      </c>
    </row>
    <row r="65" spans="6:7" ht="21" customHeight="1" x14ac:dyDescent="0.3">
      <c r="F65" s="15">
        <v>45418</v>
      </c>
      <c r="G65" s="13" t="s">
        <v>367</v>
      </c>
    </row>
    <row r="66" spans="6:7" ht="21" customHeight="1" x14ac:dyDescent="0.3">
      <c r="F66" s="15">
        <v>45427</v>
      </c>
      <c r="G66" s="13" t="s">
        <v>89</v>
      </c>
    </row>
    <row r="67" spans="6:7" ht="21" customHeight="1" x14ac:dyDescent="0.3">
      <c r="F67" s="15">
        <v>45449</v>
      </c>
      <c r="G67" s="13" t="s">
        <v>90</v>
      </c>
    </row>
    <row r="68" spans="6:7" ht="21" customHeight="1" x14ac:dyDescent="0.3">
      <c r="F68" s="15">
        <v>45519</v>
      </c>
      <c r="G68" s="13" t="s">
        <v>91</v>
      </c>
    </row>
    <row r="69" spans="6:7" ht="21" customHeight="1" x14ac:dyDescent="0.3">
      <c r="F69" s="15">
        <v>45551</v>
      </c>
      <c r="G69" s="13" t="s">
        <v>213</v>
      </c>
    </row>
    <row r="70" spans="6:7" ht="21" customHeight="1" x14ac:dyDescent="0.3">
      <c r="F70" s="15">
        <v>45552</v>
      </c>
      <c r="G70" s="13" t="s">
        <v>213</v>
      </c>
    </row>
    <row r="71" spans="6:7" ht="21" customHeight="1" x14ac:dyDescent="0.3">
      <c r="F71" s="15">
        <v>45553</v>
      </c>
      <c r="G71" s="13" t="s">
        <v>213</v>
      </c>
    </row>
    <row r="72" spans="6:7" ht="21" customHeight="1" x14ac:dyDescent="0.3">
      <c r="F72" s="15">
        <v>45566</v>
      </c>
      <c r="G72" s="13" t="s">
        <v>368</v>
      </c>
    </row>
    <row r="73" spans="6:7" ht="21" customHeight="1" x14ac:dyDescent="0.3">
      <c r="F73" s="15">
        <v>45568</v>
      </c>
      <c r="G73" s="13" t="s">
        <v>92</v>
      </c>
    </row>
    <row r="74" spans="6:7" ht="21" customHeight="1" x14ac:dyDescent="0.3">
      <c r="F74" s="15">
        <v>45574</v>
      </c>
      <c r="G74" s="13" t="s">
        <v>93</v>
      </c>
    </row>
    <row r="75" spans="6:7" ht="21" customHeight="1" x14ac:dyDescent="0.3">
      <c r="F75" s="15">
        <v>45651</v>
      </c>
      <c r="G75" s="13" t="s">
        <v>214</v>
      </c>
    </row>
  </sheetData>
  <mergeCells count="1">
    <mergeCell ref="C2:D2"/>
  </mergeCells>
  <phoneticPr fontId="2" type="noConversion"/>
  <dataValidations count="2">
    <dataValidation type="list" allowBlank="1" showInputMessage="1" showErrorMessage="1" sqref="C2:D2" xr:uid="{6CAAECC5-30CD-4A2C-ABE0-D5D999436B0F}">
      <formula1>List_M</formula1>
    </dataValidation>
    <dataValidation type="list" allowBlank="1" showInputMessage="1" showErrorMessage="1" sqref="D6:D25" xr:uid="{5696310F-FB93-46EC-90D7-F0321E7892CE}">
      <formula1>"√"</formula1>
    </dataValidation>
  </dataValidations>
  <printOptions horizontalCentered="1"/>
  <pageMargins left="0.39370078740157483" right="0.39370078740157483" top="0.19685039370078741" bottom="0.39370078740157483" header="0" footer="0"/>
  <pageSetup paperSize="9" orientation="portrait" horizontalDpi="1200" verticalDpi="120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D64E-B53B-4F83-A0C9-E8BDE96FCB9A}">
  <sheetPr codeName="Sheet2">
    <pageSetUpPr autoPageBreaks="0"/>
  </sheetPr>
  <dimension ref="B1:AJ466"/>
  <sheetViews>
    <sheetView showGridLines="0" showRowColHeaders="0" showZeros="0" tabSelected="1"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V16" sqref="V16"/>
    </sheetView>
  </sheetViews>
  <sheetFormatPr defaultColWidth="9" defaultRowHeight="21" customHeight="1" x14ac:dyDescent="0.3"/>
  <cols>
    <col min="1" max="1" width="1.25" style="34" customWidth="1"/>
    <col min="2" max="2" width="8.75" style="51" customWidth="1"/>
    <col min="3" max="3" width="15" style="51" customWidth="1"/>
    <col min="4" max="4" width="10" style="51" customWidth="1"/>
    <col min="5" max="5" width="11.25" style="52" customWidth="1"/>
    <col min="6" max="6" width="11.875" style="53" customWidth="1"/>
    <col min="7" max="7" width="11.25" style="135" customWidth="1"/>
    <col min="8" max="8" width="21.25" style="54" customWidth="1"/>
    <col min="9" max="13" width="10" style="54" customWidth="1"/>
    <col min="14" max="14" width="10.25" style="54" customWidth="1"/>
    <col min="15" max="15" width="8.75" style="54" customWidth="1"/>
    <col min="16" max="28" width="6.25" style="54" customWidth="1"/>
    <col min="29" max="29" width="13.75" style="55" customWidth="1"/>
    <col min="30" max="30" width="9" style="34" customWidth="1"/>
    <col min="31" max="35" width="9.75" style="34" bestFit="1" customWidth="1"/>
    <col min="36" max="36" width="9.125" style="34" bestFit="1" customWidth="1"/>
    <col min="37" max="16384" width="9" style="34"/>
  </cols>
  <sheetData>
    <row r="1" spans="2:36" ht="37.5" customHeight="1" x14ac:dyDescent="0.3">
      <c r="B1" s="33" t="s">
        <v>78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150"/>
      <c r="AC1" s="155" t="s">
        <v>394</v>
      </c>
      <c r="AE1" s="50"/>
    </row>
    <row r="2" spans="2:36" ht="7.5" customHeight="1" x14ac:dyDescent="0.3">
      <c r="B2" s="35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7"/>
    </row>
    <row r="3" spans="2:36" ht="26.25" customHeight="1" x14ac:dyDescent="0.3">
      <c r="B3" s="176" t="s">
        <v>97</v>
      </c>
      <c r="C3" s="64">
        <f>COUNTA(표3[*성명])-COUNTA(표3[퇴사일])</f>
        <v>18</v>
      </c>
      <c r="D3" s="177" t="s">
        <v>155</v>
      </c>
      <c r="E3" s="65"/>
      <c r="F3" s="178" t="s">
        <v>105</v>
      </c>
      <c r="G3" s="38"/>
      <c r="H3" s="38"/>
      <c r="I3" s="39"/>
      <c r="J3" s="40" t="s">
        <v>204</v>
      </c>
      <c r="K3" s="41" t="s">
        <v>79</v>
      </c>
      <c r="L3" s="179" t="s">
        <v>159</v>
      </c>
      <c r="M3" s="42"/>
      <c r="N3" s="180" t="s">
        <v>205</v>
      </c>
      <c r="O3" s="56">
        <f ca="1">DATE(YEAR(TODAY()),1,1)-(WEEKDAY(DATE(YEAR(TODAY()),1,1))-2)+((WEEKNUM(TODAY(),2)-1)*7)</f>
        <v>46083</v>
      </c>
      <c r="P3" s="57">
        <f ca="1">SUMIF(표4[사용일자],O3,표4[휴가일수(연차외)])+SUMIF(표4[사용일자],O3,표4[연차일수])</f>
        <v>0</v>
      </c>
      <c r="Q3" s="58">
        <f ca="1">O3+1</f>
        <v>46084</v>
      </c>
      <c r="R3" s="59">
        <f ca="1">SUMIF(표4[사용일자],Q3,표4[휴가일수(연차외)])+SUMIF(표4[사용일자],Q3,표4[연차일수])</f>
        <v>0</v>
      </c>
      <c r="S3" s="60">
        <f ca="1">Q3+1</f>
        <v>46085</v>
      </c>
      <c r="T3" s="61">
        <f ca="1">SUMIF(표4[사용일자],S3,표4[휴가일수(연차외)])+SUMIF(표4[사용일자],S3,표4[연차일수])</f>
        <v>0</v>
      </c>
      <c r="U3" s="58">
        <f ca="1">S3+1</f>
        <v>46086</v>
      </c>
      <c r="V3" s="59">
        <f ca="1">SUMIF(표4[사용일자],U3,표4[휴가일수(연차외)])+SUMIF(표4[사용일자],U3,표4[연차일수])</f>
        <v>0</v>
      </c>
      <c r="W3" s="58">
        <f ca="1">U3+1</f>
        <v>46087</v>
      </c>
      <c r="X3" s="59">
        <f ca="1">SUMIF(표4[사용일자],W3,표4[휴가일수(연차외)])+SUMIF(표4[사용일자],W3,표4[연차일수])</f>
        <v>0</v>
      </c>
      <c r="Y3" s="62">
        <f ca="1">W3+1</f>
        <v>46088</v>
      </c>
      <c r="Z3" s="59">
        <f ca="1">SUMIF(표4[사용일자],Y3,표4[휴가일수(연차외)])+SUMIF(표4[사용일자],Y3,표4[연차일수])</f>
        <v>0</v>
      </c>
      <c r="AA3" s="63">
        <f ca="1">Y3+1</f>
        <v>46089</v>
      </c>
      <c r="AB3" s="57">
        <f ca="1">SUMIF(표4[사용일자],AA3,표4[휴가일수(연차외)])+SUMIF(표4[사용일자],AA3,표4[연차일수])</f>
        <v>0</v>
      </c>
      <c r="AC3" s="181" t="s">
        <v>144</v>
      </c>
    </row>
    <row r="4" spans="2:36" ht="7.5" customHeight="1" x14ac:dyDescent="0.3">
      <c r="B4" s="43"/>
      <c r="C4" s="44"/>
      <c r="D4" s="44"/>
      <c r="E4" s="44"/>
      <c r="F4" s="45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6"/>
    </row>
    <row r="5" spans="2:36" ht="7.5" customHeight="1" x14ac:dyDescent="0.3">
      <c r="B5" s="47"/>
      <c r="C5" s="48"/>
      <c r="D5" s="49"/>
      <c r="E5" s="34"/>
      <c r="F5" s="50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</row>
    <row r="6" spans="2:36" ht="22.5" customHeight="1" thickBot="1" x14ac:dyDescent="0.35">
      <c r="B6" s="77" t="s">
        <v>153</v>
      </c>
      <c r="C6" s="78" t="s">
        <v>42</v>
      </c>
      <c r="D6" s="78" t="s">
        <v>9</v>
      </c>
      <c r="E6" s="77" t="s">
        <v>154</v>
      </c>
      <c r="F6" s="79" t="s">
        <v>156</v>
      </c>
      <c r="G6" s="84" t="s">
        <v>10</v>
      </c>
      <c r="H6" s="80" t="s">
        <v>15</v>
      </c>
      <c r="I6" s="81" t="s">
        <v>44</v>
      </c>
      <c r="J6" s="78" t="s">
        <v>11</v>
      </c>
      <c r="K6" s="78" t="s">
        <v>12</v>
      </c>
      <c r="L6" s="83" t="s">
        <v>13</v>
      </c>
      <c r="M6" s="82" t="s">
        <v>16</v>
      </c>
      <c r="N6" s="83" t="s">
        <v>17</v>
      </c>
      <c r="O6" s="85" t="s">
        <v>14</v>
      </c>
      <c r="P6" s="137" t="s">
        <v>193</v>
      </c>
      <c r="Q6" s="75" t="s">
        <v>194</v>
      </c>
      <c r="R6" s="75" t="s">
        <v>195</v>
      </c>
      <c r="S6" s="75" t="s">
        <v>196</v>
      </c>
      <c r="T6" s="75" t="s">
        <v>197</v>
      </c>
      <c r="U6" s="75" t="s">
        <v>198</v>
      </c>
      <c r="V6" s="75" t="s">
        <v>199</v>
      </c>
      <c r="W6" s="76" t="s">
        <v>200</v>
      </c>
      <c r="X6" s="75" t="s">
        <v>201</v>
      </c>
      <c r="Y6" s="75" t="s">
        <v>202</v>
      </c>
      <c r="Z6" s="75" t="s">
        <v>191</v>
      </c>
      <c r="AA6" s="138" t="s">
        <v>192</v>
      </c>
      <c r="AB6" s="85" t="s">
        <v>18</v>
      </c>
      <c r="AC6" s="80" t="s">
        <v>19</v>
      </c>
      <c r="AG6" s="50"/>
      <c r="AH6" s="50"/>
      <c r="AI6" s="50"/>
      <c r="AJ6" s="50"/>
    </row>
    <row r="7" spans="2:36" ht="21" customHeight="1" x14ac:dyDescent="0.3">
      <c r="B7" s="51" t="s">
        <v>284</v>
      </c>
      <c r="C7" s="51" t="s">
        <v>233</v>
      </c>
      <c r="D7" s="51" t="s">
        <v>388</v>
      </c>
      <c r="E7" s="52">
        <v>42828</v>
      </c>
      <c r="G7" s="141"/>
      <c r="H7" s="120" t="s">
        <v>396</v>
      </c>
      <c r="I7" s="124">
        <v>15</v>
      </c>
      <c r="J7" s="125">
        <v>0</v>
      </c>
      <c r="K7" s="125">
        <v>0</v>
      </c>
      <c r="L7" s="136">
        <f>표3[[#This Row],[발생연차]]+표3[[#This Row],[추가]]-표3[[#This Row],[공제]]</f>
        <v>15</v>
      </c>
      <c r="M7" s="121">
        <v>1</v>
      </c>
      <c r="N7" s="122">
        <v>0</v>
      </c>
      <c r="O7" s="144">
        <f>표3[[#This Row],[총연차]]-표3[[#This Row],[사용분]]-표3[[#This Row],[연차수당분]]</f>
        <v>14</v>
      </c>
      <c r="P7" s="120">
        <v>1</v>
      </c>
      <c r="Q7" s="125">
        <v>0</v>
      </c>
      <c r="R7" s="125">
        <v>0</v>
      </c>
      <c r="S7" s="125">
        <v>0</v>
      </c>
      <c r="T7" s="125">
        <v>0</v>
      </c>
      <c r="U7" s="125">
        <v>0</v>
      </c>
      <c r="V7" s="125">
        <v>0</v>
      </c>
      <c r="W7" s="183">
        <v>0</v>
      </c>
      <c r="X7" s="125">
        <v>0</v>
      </c>
      <c r="Y7" s="125">
        <v>0</v>
      </c>
      <c r="Z7" s="125">
        <v>0</v>
      </c>
      <c r="AA7" s="139">
        <v>0</v>
      </c>
      <c r="AB7" s="123">
        <f>SUM(표3[[#This Row],[1월]:[12월]])</f>
        <v>1</v>
      </c>
      <c r="AC7" s="140">
        <v>0</v>
      </c>
    </row>
    <row r="8" spans="2:36" ht="21" customHeight="1" x14ac:dyDescent="0.3">
      <c r="B8" s="51" t="s">
        <v>285</v>
      </c>
      <c r="C8" s="51" t="s">
        <v>290</v>
      </c>
      <c r="D8" s="51" t="s">
        <v>261</v>
      </c>
      <c r="E8" s="52">
        <v>44249</v>
      </c>
      <c r="G8" s="141"/>
      <c r="H8" s="120" t="s">
        <v>396</v>
      </c>
      <c r="I8" s="124">
        <v>15</v>
      </c>
      <c r="J8" s="125">
        <v>0</v>
      </c>
      <c r="K8" s="125">
        <v>0</v>
      </c>
      <c r="L8" s="136">
        <f>표3[[#This Row],[발생연차]]+표3[[#This Row],[추가]]-표3[[#This Row],[공제]]</f>
        <v>15</v>
      </c>
      <c r="M8" s="121">
        <v>1</v>
      </c>
      <c r="N8" s="122">
        <v>0</v>
      </c>
      <c r="O8" s="144">
        <f>표3[[#This Row],[총연차]]-표3[[#This Row],[사용분]]-표3[[#This Row],[연차수당분]]</f>
        <v>14</v>
      </c>
      <c r="P8" s="120">
        <v>1</v>
      </c>
      <c r="Q8" s="125">
        <v>0</v>
      </c>
      <c r="R8" s="125">
        <v>0</v>
      </c>
      <c r="S8" s="125">
        <v>0</v>
      </c>
      <c r="T8" s="125">
        <v>0</v>
      </c>
      <c r="U8" s="125">
        <v>0</v>
      </c>
      <c r="V8" s="125">
        <v>0</v>
      </c>
      <c r="W8" s="183">
        <v>0</v>
      </c>
      <c r="X8" s="125">
        <v>0</v>
      </c>
      <c r="Y8" s="125">
        <v>0</v>
      </c>
      <c r="Z8" s="125">
        <v>0</v>
      </c>
      <c r="AA8" s="139">
        <v>0</v>
      </c>
      <c r="AB8" s="123">
        <f>SUM(표3[[#This Row],[1월]:[12월]])</f>
        <v>1</v>
      </c>
      <c r="AC8" s="140">
        <v>0</v>
      </c>
    </row>
    <row r="9" spans="2:36" ht="21" customHeight="1" x14ac:dyDescent="0.3">
      <c r="B9" s="51" t="s">
        <v>268</v>
      </c>
      <c r="C9" s="51" t="s">
        <v>232</v>
      </c>
      <c r="D9" s="51" t="s">
        <v>388</v>
      </c>
      <c r="E9" s="52">
        <v>44440</v>
      </c>
      <c r="G9" s="141"/>
      <c r="H9" s="120" t="s">
        <v>396</v>
      </c>
      <c r="I9" s="124">
        <v>15</v>
      </c>
      <c r="J9" s="125">
        <v>0</v>
      </c>
      <c r="K9" s="125">
        <v>0</v>
      </c>
      <c r="L9" s="136">
        <f>표3[[#This Row],[발생연차]]+표3[[#This Row],[추가]]-표3[[#This Row],[공제]]</f>
        <v>15</v>
      </c>
      <c r="M9" s="121">
        <v>1</v>
      </c>
      <c r="N9" s="122">
        <v>0</v>
      </c>
      <c r="O9" s="144">
        <f>표3[[#This Row],[총연차]]-표3[[#This Row],[사용분]]-표3[[#This Row],[연차수당분]]</f>
        <v>14</v>
      </c>
      <c r="P9" s="120">
        <v>1</v>
      </c>
      <c r="Q9" s="125">
        <v>0</v>
      </c>
      <c r="R9" s="125">
        <v>0</v>
      </c>
      <c r="S9" s="125">
        <v>0</v>
      </c>
      <c r="T9" s="125">
        <v>0</v>
      </c>
      <c r="U9" s="125">
        <v>0</v>
      </c>
      <c r="V9" s="125">
        <v>0</v>
      </c>
      <c r="W9" s="183">
        <v>0</v>
      </c>
      <c r="X9" s="125">
        <v>0</v>
      </c>
      <c r="Y9" s="125">
        <v>0</v>
      </c>
      <c r="Z9" s="125">
        <v>0</v>
      </c>
      <c r="AA9" s="139">
        <v>0</v>
      </c>
      <c r="AB9" s="123">
        <f>SUM(표3[[#This Row],[1월]:[12월]])</f>
        <v>1</v>
      </c>
      <c r="AC9" s="140">
        <v>0</v>
      </c>
    </row>
    <row r="10" spans="2:36" ht="21" customHeight="1" x14ac:dyDescent="0.3">
      <c r="B10" s="51" t="s">
        <v>292</v>
      </c>
      <c r="C10" s="51" t="s">
        <v>293</v>
      </c>
      <c r="D10" s="51" t="s">
        <v>398</v>
      </c>
      <c r="E10" s="52">
        <v>44537</v>
      </c>
      <c r="G10" s="141"/>
      <c r="H10" s="120" t="s">
        <v>396</v>
      </c>
      <c r="I10" s="124">
        <v>15</v>
      </c>
      <c r="J10" s="125">
        <v>0</v>
      </c>
      <c r="K10" s="125">
        <v>0</v>
      </c>
      <c r="L10" s="136">
        <f>표3[[#This Row],[발생연차]]+표3[[#This Row],[추가]]-표3[[#This Row],[공제]]</f>
        <v>15</v>
      </c>
      <c r="M10" s="121">
        <v>2.5</v>
      </c>
      <c r="N10" s="122">
        <v>0</v>
      </c>
      <c r="O10" s="144">
        <f>표3[[#This Row],[총연차]]-표3[[#This Row],[사용분]]-표3[[#This Row],[연차수당분]]</f>
        <v>12.5</v>
      </c>
      <c r="P10" s="120">
        <v>2.5</v>
      </c>
      <c r="Q10" s="125">
        <v>0</v>
      </c>
      <c r="R10" s="125">
        <v>0</v>
      </c>
      <c r="S10" s="125">
        <v>0</v>
      </c>
      <c r="T10" s="125">
        <v>0</v>
      </c>
      <c r="U10" s="125">
        <v>0</v>
      </c>
      <c r="V10" s="125">
        <v>0</v>
      </c>
      <c r="W10" s="183">
        <v>0</v>
      </c>
      <c r="X10" s="125">
        <v>0</v>
      </c>
      <c r="Y10" s="125">
        <v>0</v>
      </c>
      <c r="Z10" s="125">
        <v>0</v>
      </c>
      <c r="AA10" s="139">
        <v>0</v>
      </c>
      <c r="AB10" s="123">
        <f>SUM(표3[[#This Row],[1월]:[12월]])</f>
        <v>2.5</v>
      </c>
      <c r="AC10" s="140">
        <v>0</v>
      </c>
    </row>
    <row r="11" spans="2:36" ht="21" customHeight="1" x14ac:dyDescent="0.3">
      <c r="B11" s="51" t="s">
        <v>222</v>
      </c>
      <c r="C11" s="51" t="s">
        <v>235</v>
      </c>
      <c r="D11" s="51" t="s">
        <v>269</v>
      </c>
      <c r="E11" s="52">
        <v>43917</v>
      </c>
      <c r="G11" s="141"/>
      <c r="H11" s="120" t="s">
        <v>396</v>
      </c>
      <c r="I11" s="124">
        <v>15</v>
      </c>
      <c r="J11" s="125">
        <v>0</v>
      </c>
      <c r="K11" s="125">
        <v>0</v>
      </c>
      <c r="L11" s="136">
        <f>표3[[#This Row],[발생연차]]+표3[[#This Row],[추가]]-표3[[#This Row],[공제]]</f>
        <v>15</v>
      </c>
      <c r="M11" s="121">
        <v>6</v>
      </c>
      <c r="N11" s="122">
        <v>0</v>
      </c>
      <c r="O11" s="144">
        <f>표3[[#This Row],[총연차]]-표3[[#This Row],[사용분]]-표3[[#This Row],[연차수당분]]</f>
        <v>9</v>
      </c>
      <c r="P11" s="120">
        <v>3.5</v>
      </c>
      <c r="Q11" s="125">
        <v>2.5</v>
      </c>
      <c r="R11" s="125">
        <v>0</v>
      </c>
      <c r="S11" s="125">
        <v>0</v>
      </c>
      <c r="T11" s="125">
        <v>0</v>
      </c>
      <c r="U11" s="125">
        <v>0</v>
      </c>
      <c r="V11" s="125">
        <v>0</v>
      </c>
      <c r="W11" s="183">
        <v>0</v>
      </c>
      <c r="X11" s="125">
        <v>0</v>
      </c>
      <c r="Y11" s="125">
        <v>0</v>
      </c>
      <c r="Z11" s="125">
        <v>0</v>
      </c>
      <c r="AA11" s="139">
        <v>0</v>
      </c>
      <c r="AB11" s="123">
        <f>SUM(표3[[#This Row],[1월]:[12월]])</f>
        <v>6</v>
      </c>
      <c r="AC11" s="140">
        <v>0</v>
      </c>
    </row>
    <row r="12" spans="2:36" ht="21" customHeight="1" x14ac:dyDescent="0.3">
      <c r="B12" s="51" t="s">
        <v>218</v>
      </c>
      <c r="C12" s="51" t="s">
        <v>234</v>
      </c>
      <c r="D12" s="51" t="s">
        <v>248</v>
      </c>
      <c r="E12" s="52">
        <v>42278</v>
      </c>
      <c r="G12" s="141"/>
      <c r="H12" s="120" t="s">
        <v>396</v>
      </c>
      <c r="I12" s="124">
        <v>15</v>
      </c>
      <c r="J12" s="125">
        <v>0</v>
      </c>
      <c r="K12" s="125">
        <v>0</v>
      </c>
      <c r="L12" s="136">
        <f>표3[[#This Row],[발생연차]]+표3[[#This Row],[추가]]-표3[[#This Row],[공제]]</f>
        <v>15</v>
      </c>
      <c r="M12" s="121">
        <v>0</v>
      </c>
      <c r="N12" s="122">
        <v>0</v>
      </c>
      <c r="O12" s="144">
        <f>표3[[#This Row],[총연차]]-표3[[#This Row],[사용분]]-표3[[#This Row],[연차수당분]]</f>
        <v>15</v>
      </c>
      <c r="P12" s="120"/>
      <c r="Q12" s="125"/>
      <c r="R12" s="125"/>
      <c r="S12" s="125"/>
      <c r="T12" s="125"/>
      <c r="U12" s="125"/>
      <c r="V12" s="125"/>
      <c r="W12" s="183"/>
      <c r="X12" s="125"/>
      <c r="Y12" s="125"/>
      <c r="Z12" s="125"/>
      <c r="AA12" s="139"/>
      <c r="AB12" s="123">
        <f>SUM(표3[[#This Row],[1월]:[12월]])</f>
        <v>0</v>
      </c>
      <c r="AC12" s="140">
        <v>0</v>
      </c>
    </row>
    <row r="13" spans="2:36" ht="21" customHeight="1" x14ac:dyDescent="0.3">
      <c r="B13" s="51" t="s">
        <v>223</v>
      </c>
      <c r="C13" s="51" t="s">
        <v>236</v>
      </c>
      <c r="D13" s="51" t="s">
        <v>388</v>
      </c>
      <c r="E13" s="52">
        <v>44013</v>
      </c>
      <c r="G13" s="141"/>
      <c r="H13" s="120" t="s">
        <v>396</v>
      </c>
      <c r="I13" s="124">
        <v>15</v>
      </c>
      <c r="J13" s="125">
        <v>0</v>
      </c>
      <c r="K13" s="125">
        <v>0</v>
      </c>
      <c r="L13" s="136">
        <f>표3[[#This Row],[발생연차]]+표3[[#This Row],[추가]]-표3[[#This Row],[공제]]</f>
        <v>15</v>
      </c>
      <c r="M13" s="121">
        <v>0</v>
      </c>
      <c r="N13" s="122">
        <v>0</v>
      </c>
      <c r="O13" s="144">
        <f>표3[[#This Row],[총연차]]-표3[[#This Row],[사용분]]-표3[[#This Row],[연차수당분]]</f>
        <v>15</v>
      </c>
      <c r="P13" s="120"/>
      <c r="Q13" s="125"/>
      <c r="R13" s="125"/>
      <c r="S13" s="125"/>
      <c r="T13" s="125"/>
      <c r="U13" s="125"/>
      <c r="V13" s="125"/>
      <c r="W13" s="183"/>
      <c r="X13" s="125"/>
      <c r="Y13" s="125"/>
      <c r="Z13" s="125"/>
      <c r="AA13" s="139"/>
      <c r="AB13" s="123">
        <f>SUM(표3[[#This Row],[1월]:[12월]])</f>
        <v>0</v>
      </c>
      <c r="AC13" s="140">
        <v>0</v>
      </c>
    </row>
    <row r="14" spans="2:36" ht="21" customHeight="1" x14ac:dyDescent="0.3">
      <c r="B14" s="51" t="s">
        <v>225</v>
      </c>
      <c r="C14" s="51" t="s">
        <v>237</v>
      </c>
      <c r="D14" s="51" t="s">
        <v>245</v>
      </c>
      <c r="E14" s="52">
        <v>44109</v>
      </c>
      <c r="G14" s="141"/>
      <c r="H14" s="120" t="s">
        <v>396</v>
      </c>
      <c r="I14" s="124">
        <v>15</v>
      </c>
      <c r="J14" s="125">
        <v>0</v>
      </c>
      <c r="K14" s="125">
        <v>0</v>
      </c>
      <c r="L14" s="136">
        <f>표3[[#This Row],[발생연차]]+표3[[#This Row],[추가]]-표3[[#This Row],[공제]]</f>
        <v>15</v>
      </c>
      <c r="M14" s="121">
        <v>0</v>
      </c>
      <c r="N14" s="122">
        <v>0</v>
      </c>
      <c r="O14" s="144">
        <f>표3[[#This Row],[총연차]]-표3[[#This Row],[사용분]]-표3[[#This Row],[연차수당분]]</f>
        <v>15</v>
      </c>
      <c r="P14" s="120"/>
      <c r="Q14" s="125"/>
      <c r="R14" s="125"/>
      <c r="S14" s="125"/>
      <c r="T14" s="125"/>
      <c r="U14" s="125"/>
      <c r="V14" s="125"/>
      <c r="W14" s="183"/>
      <c r="X14" s="125"/>
      <c r="Y14" s="125"/>
      <c r="Z14" s="125"/>
      <c r="AA14" s="139"/>
      <c r="AB14" s="123">
        <f>SUM(표3[[#This Row],[1월]:[12월]])</f>
        <v>0</v>
      </c>
      <c r="AC14" s="140">
        <v>0</v>
      </c>
    </row>
    <row r="15" spans="2:36" ht="21" customHeight="1" x14ac:dyDescent="0.3">
      <c r="B15" s="51" t="s">
        <v>230</v>
      </c>
      <c r="C15" s="51" t="s">
        <v>234</v>
      </c>
      <c r="D15" s="51" t="s">
        <v>247</v>
      </c>
      <c r="E15" s="52">
        <v>44287</v>
      </c>
      <c r="G15" s="141"/>
      <c r="H15" s="120" t="s">
        <v>396</v>
      </c>
      <c r="I15" s="124">
        <v>15</v>
      </c>
      <c r="J15" s="125">
        <v>0</v>
      </c>
      <c r="K15" s="125">
        <v>0</v>
      </c>
      <c r="L15" s="136">
        <f>표3[[#This Row],[발생연차]]+표3[[#This Row],[추가]]-표3[[#This Row],[공제]]</f>
        <v>15</v>
      </c>
      <c r="M15" s="121">
        <v>0</v>
      </c>
      <c r="N15" s="122">
        <v>0</v>
      </c>
      <c r="O15" s="144">
        <f>표3[[#This Row],[총연차]]-표3[[#This Row],[사용분]]-표3[[#This Row],[연차수당분]]</f>
        <v>15</v>
      </c>
      <c r="P15" s="120"/>
      <c r="Q15" s="125"/>
      <c r="R15" s="125"/>
      <c r="S15" s="125"/>
      <c r="T15" s="125"/>
      <c r="U15" s="125"/>
      <c r="V15" s="125"/>
      <c r="W15" s="183"/>
      <c r="X15" s="125"/>
      <c r="Y15" s="125"/>
      <c r="Z15" s="125"/>
      <c r="AA15" s="139"/>
      <c r="AB15" s="123">
        <f>SUM(표3[[#This Row],[1월]:[12월]])</f>
        <v>0</v>
      </c>
      <c r="AC15" s="140">
        <v>0</v>
      </c>
    </row>
    <row r="16" spans="2:36" ht="21" customHeight="1" x14ac:dyDescent="0.3">
      <c r="B16" s="51" t="s">
        <v>329</v>
      </c>
      <c r="C16" s="51" t="s">
        <v>235</v>
      </c>
      <c r="D16" s="51" t="s">
        <v>388</v>
      </c>
      <c r="E16" s="52">
        <v>44958</v>
      </c>
      <c r="G16" s="141"/>
      <c r="H16" s="120" t="s">
        <v>396</v>
      </c>
      <c r="I16" s="124">
        <v>15</v>
      </c>
      <c r="J16" s="125">
        <v>0</v>
      </c>
      <c r="K16" s="125">
        <v>0</v>
      </c>
      <c r="L16" s="136">
        <f>표3[[#This Row],[발생연차]]+표3[[#This Row],[추가]]-표3[[#This Row],[공제]]</f>
        <v>15</v>
      </c>
      <c r="M16" s="121">
        <v>1</v>
      </c>
      <c r="N16" s="122">
        <v>0</v>
      </c>
      <c r="O16" s="144">
        <f>표3[[#This Row],[총연차]]-표3[[#This Row],[사용분]]-표3[[#This Row],[연차수당분]]</f>
        <v>14</v>
      </c>
      <c r="P16" s="120">
        <v>1</v>
      </c>
      <c r="Q16" s="125">
        <v>0</v>
      </c>
      <c r="R16" s="125">
        <v>0</v>
      </c>
      <c r="S16" s="125">
        <v>0</v>
      </c>
      <c r="T16" s="125">
        <v>0</v>
      </c>
      <c r="U16" s="125">
        <v>0</v>
      </c>
      <c r="V16" s="125">
        <v>0</v>
      </c>
      <c r="W16" s="183">
        <v>0</v>
      </c>
      <c r="X16" s="125">
        <v>0</v>
      </c>
      <c r="Y16" s="125">
        <v>0</v>
      </c>
      <c r="Z16" s="125">
        <v>0</v>
      </c>
      <c r="AA16" s="139">
        <v>0</v>
      </c>
      <c r="AB16" s="123">
        <f>SUM(표3[[#This Row],[1월]:[12월]])</f>
        <v>1</v>
      </c>
      <c r="AC16" s="140">
        <v>0</v>
      </c>
    </row>
    <row r="17" spans="2:29" ht="21" customHeight="1" x14ac:dyDescent="0.3">
      <c r="B17" s="51" t="s">
        <v>338</v>
      </c>
      <c r="C17" s="51" t="s">
        <v>293</v>
      </c>
      <c r="D17" s="51" t="s">
        <v>269</v>
      </c>
      <c r="E17" s="52">
        <v>45098</v>
      </c>
      <c r="G17" s="141"/>
      <c r="H17" s="120" t="s">
        <v>396</v>
      </c>
      <c r="I17" s="124">
        <v>15</v>
      </c>
      <c r="J17" s="125">
        <v>0</v>
      </c>
      <c r="K17" s="125">
        <v>0</v>
      </c>
      <c r="L17" s="136">
        <f>표3[[#This Row],[발생연차]]+표3[[#This Row],[추가]]-표3[[#This Row],[공제]]</f>
        <v>15</v>
      </c>
      <c r="M17" s="121">
        <v>1</v>
      </c>
      <c r="N17" s="122">
        <v>0</v>
      </c>
      <c r="O17" s="144">
        <f>표3[[#This Row],[총연차]]-표3[[#This Row],[사용분]]-표3[[#This Row],[연차수당분]]</f>
        <v>14</v>
      </c>
      <c r="P17" s="120">
        <v>1</v>
      </c>
      <c r="Q17" s="125">
        <v>0</v>
      </c>
      <c r="R17" s="125">
        <v>0</v>
      </c>
      <c r="S17" s="125">
        <v>0</v>
      </c>
      <c r="T17" s="125">
        <v>0</v>
      </c>
      <c r="U17" s="125">
        <v>0</v>
      </c>
      <c r="V17" s="125">
        <v>0</v>
      </c>
      <c r="W17" s="183">
        <v>0</v>
      </c>
      <c r="X17" s="125">
        <v>0</v>
      </c>
      <c r="Y17" s="125">
        <v>0</v>
      </c>
      <c r="Z17" s="125">
        <v>0</v>
      </c>
      <c r="AA17" s="139">
        <v>0</v>
      </c>
      <c r="AB17" s="123">
        <f>SUM(표3[[#This Row],[1월]:[12월]])</f>
        <v>1</v>
      </c>
      <c r="AC17" s="140">
        <v>0</v>
      </c>
    </row>
    <row r="18" spans="2:29" ht="21" customHeight="1" x14ac:dyDescent="0.3">
      <c r="B18" s="51" t="s">
        <v>352</v>
      </c>
      <c r="C18" s="51" t="s">
        <v>233</v>
      </c>
      <c r="D18" s="51" t="s">
        <v>261</v>
      </c>
      <c r="E18" s="52">
        <v>45376</v>
      </c>
      <c r="G18" s="141"/>
      <c r="H18" s="120" t="s">
        <v>396</v>
      </c>
      <c r="I18" s="124">
        <v>15</v>
      </c>
      <c r="J18" s="125">
        <v>0</v>
      </c>
      <c r="K18" s="125">
        <v>0</v>
      </c>
      <c r="L18" s="136">
        <f>표3[[#This Row],[발생연차]]+표3[[#This Row],[추가]]-표3[[#This Row],[공제]]</f>
        <v>15</v>
      </c>
      <c r="M18" s="121">
        <v>2</v>
      </c>
      <c r="N18" s="122">
        <v>0</v>
      </c>
      <c r="O18" s="144">
        <f>표3[[#This Row],[총연차]]-표3[[#This Row],[사용분]]-표3[[#This Row],[연차수당분]]</f>
        <v>13</v>
      </c>
      <c r="P18" s="120">
        <v>1</v>
      </c>
      <c r="Q18" s="125">
        <v>1</v>
      </c>
      <c r="R18" s="125">
        <v>0</v>
      </c>
      <c r="S18" s="125">
        <v>0</v>
      </c>
      <c r="T18" s="125">
        <v>0</v>
      </c>
      <c r="U18" s="125">
        <v>0</v>
      </c>
      <c r="V18" s="125">
        <v>0</v>
      </c>
      <c r="W18" s="183">
        <v>0</v>
      </c>
      <c r="X18" s="125">
        <v>0</v>
      </c>
      <c r="Y18" s="125">
        <v>0</v>
      </c>
      <c r="Z18" s="125">
        <v>0</v>
      </c>
      <c r="AA18" s="139">
        <v>0</v>
      </c>
      <c r="AB18" s="123">
        <f>SUM(표3[[#This Row],[1월]:[12월]])</f>
        <v>2</v>
      </c>
      <c r="AC18" s="140">
        <v>0</v>
      </c>
    </row>
    <row r="19" spans="2:29" ht="21" customHeight="1" x14ac:dyDescent="0.3">
      <c r="B19" s="51" t="s">
        <v>354</v>
      </c>
      <c r="C19" s="51" t="s">
        <v>364</v>
      </c>
      <c r="D19" s="51" t="s">
        <v>261</v>
      </c>
      <c r="E19" s="52">
        <v>45446</v>
      </c>
      <c r="G19" s="141"/>
      <c r="H19" s="120" t="s">
        <v>396</v>
      </c>
      <c r="I19" s="124">
        <v>15</v>
      </c>
      <c r="J19" s="125">
        <v>0</v>
      </c>
      <c r="K19" s="125">
        <v>0</v>
      </c>
      <c r="L19" s="136">
        <f>표3[[#This Row],[발생연차]]+표3[[#This Row],[추가]]-표3[[#This Row],[공제]]</f>
        <v>15</v>
      </c>
      <c r="M19" s="121">
        <v>2</v>
      </c>
      <c r="N19" s="122">
        <v>0</v>
      </c>
      <c r="O19" s="144">
        <f>표3[[#This Row],[총연차]]-표3[[#This Row],[사용분]]-표3[[#This Row],[연차수당분]]</f>
        <v>13</v>
      </c>
      <c r="P19" s="120">
        <v>1</v>
      </c>
      <c r="Q19" s="125">
        <v>1</v>
      </c>
      <c r="R19" s="125">
        <v>0</v>
      </c>
      <c r="S19" s="125">
        <v>0</v>
      </c>
      <c r="T19" s="125">
        <v>0</v>
      </c>
      <c r="U19" s="125">
        <v>0</v>
      </c>
      <c r="V19" s="125">
        <v>0</v>
      </c>
      <c r="W19" s="183">
        <v>0</v>
      </c>
      <c r="X19" s="125">
        <v>0</v>
      </c>
      <c r="Y19" s="125">
        <v>0</v>
      </c>
      <c r="Z19" s="125">
        <v>0</v>
      </c>
      <c r="AA19" s="139">
        <v>0</v>
      </c>
      <c r="AB19" s="123">
        <f>SUM(표3[[#This Row],[1월]:[12월]])</f>
        <v>2</v>
      </c>
      <c r="AC19" s="140">
        <v>0</v>
      </c>
    </row>
    <row r="20" spans="2:29" ht="21" customHeight="1" x14ac:dyDescent="0.3">
      <c r="B20" s="51" t="s">
        <v>369</v>
      </c>
      <c r="C20" s="51" t="s">
        <v>234</v>
      </c>
      <c r="D20" s="51" t="s">
        <v>247</v>
      </c>
      <c r="E20" s="52">
        <v>45231</v>
      </c>
      <c r="G20" s="141"/>
      <c r="H20" s="120" t="s">
        <v>396</v>
      </c>
      <c r="I20" s="124">
        <v>15</v>
      </c>
      <c r="J20" s="125">
        <v>0</v>
      </c>
      <c r="K20" s="125">
        <v>0</v>
      </c>
      <c r="L20" s="136">
        <f>표3[[#This Row],[발생연차]]+표3[[#This Row],[추가]]-표3[[#This Row],[공제]]</f>
        <v>15</v>
      </c>
      <c r="M20" s="121">
        <v>0</v>
      </c>
      <c r="N20" s="122">
        <v>0</v>
      </c>
      <c r="O20" s="144">
        <f>표3[[#This Row],[총연차]]-표3[[#This Row],[사용분]]-표3[[#This Row],[연차수당분]]</f>
        <v>15</v>
      </c>
      <c r="P20" s="120"/>
      <c r="Q20" s="125"/>
      <c r="R20" s="125"/>
      <c r="S20" s="125"/>
      <c r="T20" s="125"/>
      <c r="U20" s="125"/>
      <c r="V20" s="125"/>
      <c r="W20" s="183"/>
      <c r="X20" s="125"/>
      <c r="Y20" s="125"/>
      <c r="Z20" s="125"/>
      <c r="AA20" s="139"/>
      <c r="AB20" s="123">
        <f>SUM(표3[[#This Row],[1월]:[12월]])</f>
        <v>0</v>
      </c>
      <c r="AC20" s="140">
        <v>0</v>
      </c>
    </row>
    <row r="21" spans="2:29" ht="21" customHeight="1" x14ac:dyDescent="0.3">
      <c r="B21" s="51" t="s">
        <v>372</v>
      </c>
      <c r="C21" s="51" t="s">
        <v>293</v>
      </c>
      <c r="D21" s="51" t="s">
        <v>261</v>
      </c>
      <c r="E21" s="52">
        <v>45819</v>
      </c>
      <c r="G21" s="141"/>
      <c r="H21" s="120" t="s">
        <v>396</v>
      </c>
      <c r="I21" s="124">
        <v>13</v>
      </c>
      <c r="J21" s="125">
        <v>0</v>
      </c>
      <c r="K21" s="125">
        <v>0</v>
      </c>
      <c r="L21" s="136">
        <f>표3[[#This Row],[발생연차]]+표3[[#This Row],[추가]]-표3[[#This Row],[공제]]</f>
        <v>13</v>
      </c>
      <c r="M21" s="121">
        <v>2</v>
      </c>
      <c r="N21" s="122">
        <v>0</v>
      </c>
      <c r="O21" s="144">
        <f>표3[[#This Row],[총연차]]-표3[[#This Row],[사용분]]-표3[[#This Row],[연차수당분]]</f>
        <v>11</v>
      </c>
      <c r="P21" s="120">
        <v>1</v>
      </c>
      <c r="Q21" s="125">
        <v>1</v>
      </c>
      <c r="R21" s="125">
        <v>0</v>
      </c>
      <c r="S21" s="125">
        <v>0</v>
      </c>
      <c r="T21" s="125">
        <v>0</v>
      </c>
      <c r="U21" s="125">
        <v>0</v>
      </c>
      <c r="V21" s="125">
        <v>0</v>
      </c>
      <c r="W21" s="183">
        <v>0</v>
      </c>
      <c r="X21" s="125">
        <v>0</v>
      </c>
      <c r="Y21" s="125">
        <v>0</v>
      </c>
      <c r="Z21" s="125">
        <v>0</v>
      </c>
      <c r="AA21" s="139">
        <v>0</v>
      </c>
      <c r="AB21" s="123">
        <f>SUM(표3[[#This Row],[1월]:[12월]])</f>
        <v>2</v>
      </c>
      <c r="AC21" s="140">
        <v>0</v>
      </c>
    </row>
    <row r="22" spans="2:29" ht="21" customHeight="1" x14ac:dyDescent="0.3">
      <c r="B22" s="51" t="s">
        <v>373</v>
      </c>
      <c r="C22" s="51" t="s">
        <v>290</v>
      </c>
      <c r="D22" s="51" t="s">
        <v>246</v>
      </c>
      <c r="E22" s="52">
        <v>45800</v>
      </c>
      <c r="G22" s="141"/>
      <c r="H22" s="120" t="s">
        <v>396</v>
      </c>
      <c r="I22" s="124">
        <v>13</v>
      </c>
      <c r="J22" s="125">
        <v>0</v>
      </c>
      <c r="K22" s="125">
        <v>0</v>
      </c>
      <c r="L22" s="136">
        <f>표3[[#This Row],[발생연차]]+표3[[#This Row],[추가]]-표3[[#This Row],[공제]]</f>
        <v>13</v>
      </c>
      <c r="M22" s="121">
        <v>1</v>
      </c>
      <c r="N22" s="122">
        <v>0</v>
      </c>
      <c r="O22" s="144">
        <f>표3[[#This Row],[총연차]]-표3[[#This Row],[사용분]]-표3[[#This Row],[연차수당분]]</f>
        <v>12</v>
      </c>
      <c r="P22" s="120">
        <v>1</v>
      </c>
      <c r="Q22" s="125">
        <v>0</v>
      </c>
      <c r="R22" s="125">
        <v>0</v>
      </c>
      <c r="S22" s="125">
        <v>0</v>
      </c>
      <c r="T22" s="125">
        <v>0</v>
      </c>
      <c r="U22" s="125">
        <v>0</v>
      </c>
      <c r="V22" s="125">
        <v>0</v>
      </c>
      <c r="W22" s="183">
        <v>0</v>
      </c>
      <c r="X22" s="125">
        <v>0</v>
      </c>
      <c r="Y22" s="125">
        <v>0</v>
      </c>
      <c r="Z22" s="125">
        <v>0</v>
      </c>
      <c r="AA22" s="139">
        <v>0</v>
      </c>
      <c r="AB22" s="123">
        <f>SUM(표3[[#This Row],[1월]:[12월]])</f>
        <v>1</v>
      </c>
      <c r="AC22" s="140">
        <v>0</v>
      </c>
    </row>
    <row r="23" spans="2:29" ht="21" customHeight="1" x14ac:dyDescent="0.3">
      <c r="B23" s="51" t="s">
        <v>386</v>
      </c>
      <c r="C23" s="51" t="s">
        <v>387</v>
      </c>
      <c r="D23" s="51" t="s">
        <v>388</v>
      </c>
      <c r="E23" s="52">
        <v>45890</v>
      </c>
      <c r="G23" s="141"/>
      <c r="H23" s="120" t="s">
        <v>396</v>
      </c>
      <c r="I23" s="124">
        <v>12</v>
      </c>
      <c r="J23" s="125">
        <v>0</v>
      </c>
      <c r="K23" s="125">
        <v>0</v>
      </c>
      <c r="L23" s="136">
        <f>표3[[#This Row],[발생연차]]+표3[[#This Row],[추가]]-표3[[#This Row],[공제]]</f>
        <v>12</v>
      </c>
      <c r="M23" s="121">
        <v>0</v>
      </c>
      <c r="N23" s="122">
        <v>0</v>
      </c>
      <c r="O23" s="144">
        <f>표3[[#This Row],[총연차]]-표3[[#This Row],[사용분]]-표3[[#This Row],[연차수당분]]</f>
        <v>12</v>
      </c>
      <c r="P23" s="120"/>
      <c r="Q23" s="125"/>
      <c r="R23" s="125"/>
      <c r="S23" s="125"/>
      <c r="T23" s="125"/>
      <c r="U23" s="125"/>
      <c r="V23" s="125"/>
      <c r="W23" s="183"/>
      <c r="X23" s="125"/>
      <c r="Y23" s="125"/>
      <c r="Z23" s="125"/>
      <c r="AA23" s="139"/>
      <c r="AB23" s="123">
        <f>SUM(표3[[#This Row],[1월]:[12월]])</f>
        <v>0</v>
      </c>
      <c r="AC23" s="140">
        <v>0</v>
      </c>
    </row>
    <row r="24" spans="2:29" ht="21" customHeight="1" x14ac:dyDescent="0.3">
      <c r="B24" s="51" t="s">
        <v>397</v>
      </c>
      <c r="C24" s="51" t="s">
        <v>235</v>
      </c>
      <c r="D24" s="51" t="s">
        <v>266</v>
      </c>
      <c r="E24" s="52">
        <v>46027</v>
      </c>
      <c r="G24" s="141"/>
      <c r="H24" s="120" t="s">
        <v>399</v>
      </c>
      <c r="I24" s="124">
        <v>11</v>
      </c>
      <c r="J24" s="125">
        <v>0</v>
      </c>
      <c r="K24" s="125">
        <v>0</v>
      </c>
      <c r="L24" s="136">
        <f>표3[[#This Row],[발생연차]]+표3[[#This Row],[추가]]-표3[[#This Row],[공제]]</f>
        <v>11</v>
      </c>
      <c r="M24" s="121">
        <v>0</v>
      </c>
      <c r="N24" s="122">
        <v>0</v>
      </c>
      <c r="O24" s="144">
        <f>표3[[#This Row],[총연차]]-표3[[#This Row],[사용분]]-표3[[#This Row],[연차수당분]]</f>
        <v>11</v>
      </c>
      <c r="P24" s="120"/>
      <c r="Q24" s="125"/>
      <c r="R24" s="125"/>
      <c r="S24" s="125"/>
      <c r="T24" s="125"/>
      <c r="U24" s="125"/>
      <c r="V24" s="125"/>
      <c r="W24" s="183"/>
      <c r="X24" s="125"/>
      <c r="Y24" s="125"/>
      <c r="Z24" s="125"/>
      <c r="AA24" s="139"/>
      <c r="AB24" s="123">
        <f>SUM(표3[[#This Row],[1월]:[12월]])</f>
        <v>0</v>
      </c>
      <c r="AC24" s="140">
        <v>0</v>
      </c>
    </row>
    <row r="25" spans="2:29" ht="21" customHeight="1" x14ac:dyDescent="0.3">
      <c r="B25" s="51" t="s">
        <v>325</v>
      </c>
      <c r="C25" s="51" t="s">
        <v>232</v>
      </c>
      <c r="D25" s="51" t="s">
        <v>244</v>
      </c>
      <c r="E25" s="52">
        <v>44902</v>
      </c>
      <c r="G25" s="141">
        <v>45108</v>
      </c>
      <c r="H25" s="120"/>
      <c r="I25" s="124"/>
      <c r="J25" s="125"/>
      <c r="K25" s="125"/>
      <c r="L25" s="136">
        <f>표3[[#This Row],[발생연차]]+표3[[#This Row],[추가]]-표3[[#This Row],[공제]]</f>
        <v>0</v>
      </c>
      <c r="M25" s="121"/>
      <c r="N25" s="122"/>
      <c r="O25" s="144">
        <f>표3[[#This Row],[총연차]]-표3[[#This Row],[사용분]]-표3[[#This Row],[연차수당분]]</f>
        <v>0</v>
      </c>
      <c r="P25" s="120"/>
      <c r="Q25" s="125"/>
      <c r="R25" s="125"/>
      <c r="S25" s="125"/>
      <c r="T25" s="125"/>
      <c r="U25" s="125"/>
      <c r="V25" s="125"/>
      <c r="W25" s="183"/>
      <c r="X25" s="125"/>
      <c r="Y25" s="125"/>
      <c r="Z25" s="125"/>
      <c r="AA25" s="139"/>
      <c r="AB25" s="123">
        <f>SUM(표3[[#This Row],[1월]:[12월]])</f>
        <v>0</v>
      </c>
      <c r="AC25" s="140"/>
    </row>
    <row r="26" spans="2:29" ht="21" customHeight="1" x14ac:dyDescent="0.3">
      <c r="B26" s="51" t="s">
        <v>276</v>
      </c>
      <c r="C26" s="51" t="s">
        <v>235</v>
      </c>
      <c r="D26" s="51" t="s">
        <v>247</v>
      </c>
      <c r="E26" s="52">
        <v>44466</v>
      </c>
      <c r="G26" s="141">
        <v>45177</v>
      </c>
      <c r="H26" s="120"/>
      <c r="I26" s="124"/>
      <c r="J26" s="125"/>
      <c r="K26" s="125"/>
      <c r="L26" s="136">
        <f>표3[[#This Row],[발생연차]]+표3[[#This Row],[추가]]-표3[[#This Row],[공제]]</f>
        <v>0</v>
      </c>
      <c r="M26" s="121"/>
      <c r="N26" s="122"/>
      <c r="O26" s="144">
        <f>표3[[#This Row],[총연차]]-표3[[#This Row],[사용분]]-표3[[#This Row],[연차수당분]]</f>
        <v>0</v>
      </c>
      <c r="P26" s="120"/>
      <c r="Q26" s="125"/>
      <c r="R26" s="125"/>
      <c r="S26" s="125"/>
      <c r="T26" s="125"/>
      <c r="U26" s="125"/>
      <c r="V26" s="125"/>
      <c r="W26" s="183"/>
      <c r="X26" s="125"/>
      <c r="Y26" s="125"/>
      <c r="Z26" s="125"/>
      <c r="AA26" s="139"/>
      <c r="AB26" s="123">
        <f>SUM(표3[[#This Row],[1월]:[12월]])</f>
        <v>0</v>
      </c>
      <c r="AC26" s="140"/>
    </row>
    <row r="27" spans="2:29" ht="21" customHeight="1" x14ac:dyDescent="0.3">
      <c r="B27" s="51" t="s">
        <v>277</v>
      </c>
      <c r="C27" s="51" t="s">
        <v>232</v>
      </c>
      <c r="D27" s="51" t="s">
        <v>246</v>
      </c>
      <c r="E27" s="52">
        <v>44440</v>
      </c>
      <c r="G27" s="141">
        <v>45078</v>
      </c>
      <c r="H27" s="120"/>
      <c r="I27" s="124"/>
      <c r="J27" s="125"/>
      <c r="K27" s="125"/>
      <c r="L27" s="136">
        <f>표3[[#This Row],[발생연차]]+표3[[#This Row],[추가]]-표3[[#This Row],[공제]]</f>
        <v>0</v>
      </c>
      <c r="M27" s="121"/>
      <c r="N27" s="122"/>
      <c r="O27" s="144">
        <f>표3[[#This Row],[총연차]]-표3[[#This Row],[사용분]]-표3[[#This Row],[연차수당분]]</f>
        <v>0</v>
      </c>
      <c r="P27" s="120"/>
      <c r="Q27" s="125"/>
      <c r="R27" s="125"/>
      <c r="S27" s="125"/>
      <c r="T27" s="125"/>
      <c r="U27" s="125"/>
      <c r="V27" s="125"/>
      <c r="W27" s="183"/>
      <c r="X27" s="125"/>
      <c r="Y27" s="125"/>
      <c r="Z27" s="125"/>
      <c r="AA27" s="139"/>
      <c r="AB27" s="123">
        <f>SUM(표3[[#This Row],[1월]:[12월]])</f>
        <v>0</v>
      </c>
      <c r="AC27" s="140"/>
    </row>
    <row r="28" spans="2:29" ht="21" customHeight="1" x14ac:dyDescent="0.3">
      <c r="B28" s="51" t="s">
        <v>265</v>
      </c>
      <c r="C28" s="51" t="s">
        <v>235</v>
      </c>
      <c r="D28" s="51" t="s">
        <v>246</v>
      </c>
      <c r="E28" s="52">
        <v>44427</v>
      </c>
      <c r="G28" s="141">
        <v>44923</v>
      </c>
      <c r="H28" s="120"/>
      <c r="I28" s="124"/>
      <c r="J28" s="125"/>
      <c r="K28" s="125"/>
      <c r="L28" s="136">
        <f>표3[[#This Row],[발생연차]]+표3[[#This Row],[추가]]-표3[[#This Row],[공제]]</f>
        <v>0</v>
      </c>
      <c r="M28" s="121"/>
      <c r="N28" s="122"/>
      <c r="O28" s="144">
        <f>표3[[#This Row],[총연차]]-표3[[#This Row],[사용분]]-표3[[#This Row],[연차수당분]]</f>
        <v>0</v>
      </c>
      <c r="P28" s="120"/>
      <c r="Q28" s="125"/>
      <c r="R28" s="125"/>
      <c r="S28" s="125"/>
      <c r="T28" s="125"/>
      <c r="U28" s="125"/>
      <c r="V28" s="125"/>
      <c r="W28" s="183"/>
      <c r="X28" s="125"/>
      <c r="Y28" s="125"/>
      <c r="Z28" s="125"/>
      <c r="AA28" s="139"/>
      <c r="AB28" s="123">
        <f>SUM(표3[[#This Row],[1월]:[12월]])</f>
        <v>0</v>
      </c>
      <c r="AC28" s="140"/>
    </row>
    <row r="29" spans="2:29" ht="21" customHeight="1" x14ac:dyDescent="0.3">
      <c r="B29" s="51" t="s">
        <v>275</v>
      </c>
      <c r="C29" s="51" t="s">
        <v>235</v>
      </c>
      <c r="D29" s="51" t="s">
        <v>246</v>
      </c>
      <c r="E29" s="52">
        <v>44470</v>
      </c>
      <c r="G29" s="141">
        <v>44923</v>
      </c>
      <c r="H29" s="120"/>
      <c r="I29" s="124"/>
      <c r="J29" s="125"/>
      <c r="K29" s="125"/>
      <c r="L29" s="136">
        <f>표3[[#This Row],[발생연차]]+표3[[#This Row],[추가]]-표3[[#This Row],[공제]]</f>
        <v>0</v>
      </c>
      <c r="M29" s="121"/>
      <c r="N29" s="122"/>
      <c r="O29" s="144">
        <f>표3[[#This Row],[총연차]]-표3[[#This Row],[사용분]]-표3[[#This Row],[연차수당분]]</f>
        <v>0</v>
      </c>
      <c r="P29" s="120"/>
      <c r="Q29" s="125"/>
      <c r="R29" s="125"/>
      <c r="S29" s="125"/>
      <c r="T29" s="125"/>
      <c r="U29" s="125"/>
      <c r="V29" s="125"/>
      <c r="W29" s="183"/>
      <c r="X29" s="125"/>
      <c r="Y29" s="125"/>
      <c r="Z29" s="125"/>
      <c r="AA29" s="139"/>
      <c r="AB29" s="123">
        <f>SUM(표3[[#This Row],[1월]:[12월]])</f>
        <v>0</v>
      </c>
      <c r="AC29" s="140"/>
    </row>
    <row r="30" spans="2:29" ht="21" customHeight="1" x14ac:dyDescent="0.3">
      <c r="B30" s="51" t="s">
        <v>216</v>
      </c>
      <c r="C30" s="51" t="s">
        <v>233</v>
      </c>
      <c r="D30" s="51" t="s">
        <v>240</v>
      </c>
      <c r="E30" s="52">
        <v>41470</v>
      </c>
      <c r="G30" s="141">
        <v>44712</v>
      </c>
      <c r="H30" s="120"/>
      <c r="I30" s="124"/>
      <c r="J30" s="125"/>
      <c r="K30" s="125"/>
      <c r="L30" s="136">
        <f>표3[[#This Row],[발생연차]]+표3[[#This Row],[추가]]-표3[[#This Row],[공제]]</f>
        <v>0</v>
      </c>
      <c r="M30" s="121"/>
      <c r="N30" s="122"/>
      <c r="O30" s="144">
        <f>표3[[#This Row],[총연차]]-표3[[#This Row],[사용분]]-표3[[#This Row],[연차수당분]]</f>
        <v>0</v>
      </c>
      <c r="P30" s="120"/>
      <c r="Q30" s="125"/>
      <c r="R30" s="125"/>
      <c r="S30" s="125"/>
      <c r="T30" s="125"/>
      <c r="U30" s="125"/>
      <c r="V30" s="125"/>
      <c r="W30" s="183"/>
      <c r="X30" s="125"/>
      <c r="Y30" s="125"/>
      <c r="Z30" s="125"/>
      <c r="AA30" s="139"/>
      <c r="AB30" s="123">
        <f>SUM(표3[[#This Row],[1월]:[12월]])</f>
        <v>0</v>
      </c>
      <c r="AC30" s="140"/>
    </row>
    <row r="31" spans="2:29" ht="21" customHeight="1" x14ac:dyDescent="0.3">
      <c r="B31" s="51" t="s">
        <v>217</v>
      </c>
      <c r="C31" s="51" t="s">
        <v>232</v>
      </c>
      <c r="D31" s="51" t="s">
        <v>240</v>
      </c>
      <c r="E31" s="52">
        <v>44743</v>
      </c>
      <c r="G31" s="141">
        <v>44810</v>
      </c>
      <c r="H31" s="120"/>
      <c r="I31" s="124"/>
      <c r="J31" s="125"/>
      <c r="K31" s="125"/>
      <c r="L31" s="136">
        <f>표3[[#This Row],[발생연차]]+표3[[#This Row],[추가]]-표3[[#This Row],[공제]]</f>
        <v>0</v>
      </c>
      <c r="M31" s="121"/>
      <c r="N31" s="122"/>
      <c r="O31" s="144">
        <f>표3[[#This Row],[총연차]]-표3[[#This Row],[사용분]]-표3[[#This Row],[연차수당분]]</f>
        <v>0</v>
      </c>
      <c r="P31" s="120"/>
      <c r="Q31" s="125"/>
      <c r="R31" s="125"/>
      <c r="S31" s="125"/>
      <c r="T31" s="125"/>
      <c r="U31" s="125"/>
      <c r="V31" s="125"/>
      <c r="W31" s="183"/>
      <c r="X31" s="125"/>
      <c r="Y31" s="125"/>
      <c r="Z31" s="125"/>
      <c r="AA31" s="139"/>
      <c r="AB31" s="123">
        <f>SUM(표3[[#This Row],[1월]:[12월]])</f>
        <v>0</v>
      </c>
      <c r="AC31" s="140"/>
    </row>
    <row r="32" spans="2:29" ht="21" customHeight="1" x14ac:dyDescent="0.3">
      <c r="B32" s="51" t="s">
        <v>326</v>
      </c>
      <c r="C32" s="51" t="s">
        <v>235</v>
      </c>
      <c r="D32" s="51" t="s">
        <v>246</v>
      </c>
      <c r="E32" s="52">
        <v>44867</v>
      </c>
      <c r="G32" s="141">
        <v>44986</v>
      </c>
      <c r="H32" s="120"/>
      <c r="I32" s="124"/>
      <c r="J32" s="125"/>
      <c r="K32" s="125"/>
      <c r="L32" s="136">
        <f>표3[[#This Row],[발생연차]]+표3[[#This Row],[추가]]-표3[[#This Row],[공제]]</f>
        <v>0</v>
      </c>
      <c r="M32" s="121"/>
      <c r="N32" s="122"/>
      <c r="O32" s="144">
        <f>표3[[#This Row],[총연차]]-표3[[#This Row],[사용분]]-표3[[#This Row],[연차수당분]]</f>
        <v>0</v>
      </c>
      <c r="P32" s="120"/>
      <c r="Q32" s="125"/>
      <c r="R32" s="125"/>
      <c r="S32" s="125"/>
      <c r="T32" s="125"/>
      <c r="U32" s="125"/>
      <c r="V32" s="125"/>
      <c r="W32" s="183"/>
      <c r="X32" s="125"/>
      <c r="Y32" s="125"/>
      <c r="Z32" s="125"/>
      <c r="AA32" s="139"/>
      <c r="AB32" s="123">
        <f>SUM(표3[[#This Row],[1월]:[12월]])</f>
        <v>0</v>
      </c>
      <c r="AC32" s="140"/>
    </row>
    <row r="33" spans="2:29" ht="21" customHeight="1" x14ac:dyDescent="0.3">
      <c r="B33" s="51" t="s">
        <v>328</v>
      </c>
      <c r="C33" s="51" t="s">
        <v>235</v>
      </c>
      <c r="D33" s="51" t="s">
        <v>246</v>
      </c>
      <c r="E33" s="52">
        <v>44866</v>
      </c>
      <c r="G33" s="141">
        <v>45009</v>
      </c>
      <c r="H33" s="120"/>
      <c r="I33" s="124"/>
      <c r="J33" s="125"/>
      <c r="K33" s="125"/>
      <c r="L33" s="136">
        <f>표3[[#This Row],[발생연차]]+표3[[#This Row],[추가]]-표3[[#This Row],[공제]]</f>
        <v>0</v>
      </c>
      <c r="M33" s="121"/>
      <c r="N33" s="122"/>
      <c r="O33" s="144">
        <f>표3[[#This Row],[총연차]]-표3[[#This Row],[사용분]]-표3[[#This Row],[연차수당분]]</f>
        <v>0</v>
      </c>
      <c r="P33" s="120"/>
      <c r="Q33" s="125"/>
      <c r="R33" s="125"/>
      <c r="S33" s="125"/>
      <c r="T33" s="125"/>
      <c r="U33" s="125"/>
      <c r="V33" s="125"/>
      <c r="W33" s="183"/>
      <c r="X33" s="125"/>
      <c r="Y33" s="125"/>
      <c r="Z33" s="125"/>
      <c r="AA33" s="139"/>
      <c r="AB33" s="123">
        <f>SUM(표3[[#This Row],[1월]:[12월]])</f>
        <v>0</v>
      </c>
      <c r="AC33" s="140"/>
    </row>
    <row r="34" spans="2:29" ht="21" customHeight="1" x14ac:dyDescent="0.3">
      <c r="B34" s="51" t="s">
        <v>221</v>
      </c>
      <c r="C34" s="51" t="s">
        <v>234</v>
      </c>
      <c r="D34" s="51" t="s">
        <v>242</v>
      </c>
      <c r="E34" s="52">
        <v>43770</v>
      </c>
      <c r="G34" s="141">
        <v>45021</v>
      </c>
      <c r="H34" s="120"/>
      <c r="I34" s="124"/>
      <c r="J34" s="125"/>
      <c r="K34" s="125"/>
      <c r="L34" s="136">
        <f>표3[[#This Row],[발생연차]]+표3[[#This Row],[추가]]-표3[[#This Row],[공제]]</f>
        <v>0</v>
      </c>
      <c r="M34" s="121"/>
      <c r="N34" s="122"/>
      <c r="O34" s="144">
        <f>표3[[#This Row],[총연차]]-표3[[#This Row],[사용분]]-표3[[#This Row],[연차수당분]]</f>
        <v>0</v>
      </c>
      <c r="P34" s="120"/>
      <c r="Q34" s="125"/>
      <c r="R34" s="125"/>
      <c r="S34" s="125"/>
      <c r="T34" s="125"/>
      <c r="U34" s="125"/>
      <c r="V34" s="125"/>
      <c r="W34" s="183"/>
      <c r="X34" s="125"/>
      <c r="Y34" s="125"/>
      <c r="Z34" s="125"/>
      <c r="AA34" s="139"/>
      <c r="AB34" s="123">
        <f>SUM(표3[[#This Row],[1월]:[12월]])</f>
        <v>0</v>
      </c>
      <c r="AC34" s="140"/>
    </row>
    <row r="35" spans="2:29" ht="21" customHeight="1" x14ac:dyDescent="0.3">
      <c r="B35" s="51" t="s">
        <v>260</v>
      </c>
      <c r="C35" s="51" t="s">
        <v>235</v>
      </c>
      <c r="D35" s="51" t="s">
        <v>244</v>
      </c>
      <c r="E35" s="52">
        <v>44172</v>
      </c>
      <c r="G35" s="141">
        <v>45016</v>
      </c>
      <c r="H35" s="120"/>
      <c r="I35" s="124"/>
      <c r="J35" s="125"/>
      <c r="K35" s="125"/>
      <c r="L35" s="136">
        <f>표3[[#This Row],[발생연차]]+표3[[#This Row],[추가]]-표3[[#This Row],[공제]]</f>
        <v>0</v>
      </c>
      <c r="M35" s="121"/>
      <c r="N35" s="122"/>
      <c r="O35" s="144">
        <f>표3[[#This Row],[총연차]]-표3[[#This Row],[사용분]]-표3[[#This Row],[연차수당분]]</f>
        <v>0</v>
      </c>
      <c r="P35" s="120"/>
      <c r="Q35" s="125"/>
      <c r="R35" s="125"/>
      <c r="S35" s="125"/>
      <c r="T35" s="125"/>
      <c r="U35" s="125"/>
      <c r="V35" s="125"/>
      <c r="W35" s="183"/>
      <c r="X35" s="125"/>
      <c r="Y35" s="125"/>
      <c r="Z35" s="125"/>
      <c r="AA35" s="139"/>
      <c r="AB35" s="123">
        <f>SUM(표3[[#This Row],[1월]:[12월]])</f>
        <v>0</v>
      </c>
      <c r="AC35" s="140"/>
    </row>
    <row r="36" spans="2:29" ht="21" customHeight="1" x14ac:dyDescent="0.3">
      <c r="B36" s="51" t="s">
        <v>309</v>
      </c>
      <c r="C36" s="51" t="s">
        <v>232</v>
      </c>
      <c r="D36" s="51" t="s">
        <v>244</v>
      </c>
      <c r="E36" s="52">
        <v>44713</v>
      </c>
      <c r="G36" s="141">
        <v>45078</v>
      </c>
      <c r="H36" s="120"/>
      <c r="I36" s="124"/>
      <c r="J36" s="125"/>
      <c r="K36" s="125"/>
      <c r="L36" s="136">
        <f>표3[[#This Row],[발생연차]]+표3[[#This Row],[추가]]-표3[[#This Row],[공제]]</f>
        <v>0</v>
      </c>
      <c r="M36" s="121"/>
      <c r="N36" s="122"/>
      <c r="O36" s="144">
        <f>표3[[#This Row],[총연차]]-표3[[#This Row],[사용분]]-표3[[#This Row],[연차수당분]]</f>
        <v>0</v>
      </c>
      <c r="P36" s="120"/>
      <c r="Q36" s="125"/>
      <c r="R36" s="125"/>
      <c r="S36" s="125"/>
      <c r="T36" s="125"/>
      <c r="U36" s="125"/>
      <c r="V36" s="125"/>
      <c r="W36" s="183"/>
      <c r="X36" s="125"/>
      <c r="Y36" s="125"/>
      <c r="Z36" s="125"/>
      <c r="AA36" s="139"/>
      <c r="AB36" s="123">
        <f>SUM(표3[[#This Row],[1월]:[12월]])</f>
        <v>0</v>
      </c>
      <c r="AC36" s="140"/>
    </row>
    <row r="37" spans="2:29" ht="21" customHeight="1" x14ac:dyDescent="0.3">
      <c r="B37" s="51" t="s">
        <v>311</v>
      </c>
      <c r="C37" s="51" t="s">
        <v>232</v>
      </c>
      <c r="D37" s="51" t="s">
        <v>241</v>
      </c>
      <c r="E37" s="52">
        <v>44684</v>
      </c>
      <c r="G37" s="141">
        <v>44865</v>
      </c>
      <c r="H37" s="120"/>
      <c r="I37" s="124"/>
      <c r="J37" s="125"/>
      <c r="K37" s="125"/>
      <c r="L37" s="136">
        <f>표3[[#This Row],[발생연차]]+표3[[#This Row],[추가]]-표3[[#This Row],[공제]]</f>
        <v>0</v>
      </c>
      <c r="M37" s="121"/>
      <c r="N37" s="122"/>
      <c r="O37" s="144">
        <f>표3[[#This Row],[총연차]]-표3[[#This Row],[사용분]]-표3[[#This Row],[연차수당분]]</f>
        <v>0</v>
      </c>
      <c r="P37" s="120"/>
      <c r="Q37" s="125"/>
      <c r="R37" s="125"/>
      <c r="S37" s="125"/>
      <c r="T37" s="125"/>
      <c r="U37" s="125"/>
      <c r="V37" s="125"/>
      <c r="W37" s="183"/>
      <c r="X37" s="125"/>
      <c r="Y37" s="125"/>
      <c r="Z37" s="125"/>
      <c r="AA37" s="139"/>
      <c r="AB37" s="123">
        <f>SUM(표3[[#This Row],[1월]:[12월]])</f>
        <v>0</v>
      </c>
      <c r="AC37" s="140"/>
    </row>
    <row r="38" spans="2:29" ht="21" customHeight="1" x14ac:dyDescent="0.3">
      <c r="B38" s="51" t="s">
        <v>335</v>
      </c>
      <c r="C38" s="51" t="s">
        <v>232</v>
      </c>
      <c r="D38" s="51" t="s">
        <v>244</v>
      </c>
      <c r="E38" s="52">
        <v>45078</v>
      </c>
      <c r="G38" s="141">
        <v>45360</v>
      </c>
      <c r="H38" s="120"/>
      <c r="I38" s="124"/>
      <c r="J38" s="125"/>
      <c r="K38" s="125"/>
      <c r="L38" s="136">
        <f>표3[[#This Row],[발생연차]]+표3[[#This Row],[추가]]-표3[[#This Row],[공제]]</f>
        <v>0</v>
      </c>
      <c r="M38" s="121"/>
      <c r="N38" s="122"/>
      <c r="O38" s="144">
        <f>표3[[#This Row],[총연차]]-표3[[#This Row],[사용분]]-표3[[#This Row],[연차수당분]]</f>
        <v>0</v>
      </c>
      <c r="P38" s="120"/>
      <c r="Q38" s="125"/>
      <c r="R38" s="125"/>
      <c r="S38" s="125"/>
      <c r="T38" s="125"/>
      <c r="U38" s="125"/>
      <c r="V38" s="125"/>
      <c r="W38" s="183"/>
      <c r="X38" s="125"/>
      <c r="Y38" s="125"/>
      <c r="Z38" s="125"/>
      <c r="AA38" s="139"/>
      <c r="AB38" s="123">
        <f>SUM(표3[[#This Row],[1월]:[12월]])</f>
        <v>0</v>
      </c>
      <c r="AC38" s="140"/>
    </row>
    <row r="39" spans="2:29" ht="21" customHeight="1" x14ac:dyDescent="0.3">
      <c r="B39" s="51" t="s">
        <v>317</v>
      </c>
      <c r="C39" s="51" t="s">
        <v>233</v>
      </c>
      <c r="D39" s="51" t="s">
        <v>246</v>
      </c>
      <c r="E39" s="52">
        <v>44746</v>
      </c>
      <c r="G39" s="141">
        <v>45381</v>
      </c>
      <c r="H39" s="120"/>
      <c r="I39" s="124"/>
      <c r="J39" s="125"/>
      <c r="K39" s="125"/>
      <c r="L39" s="136">
        <f>표3[[#This Row],[발생연차]]+표3[[#This Row],[추가]]-표3[[#This Row],[공제]]</f>
        <v>0</v>
      </c>
      <c r="M39" s="121"/>
      <c r="N39" s="122"/>
      <c r="O39" s="144">
        <f>표3[[#This Row],[총연차]]-표3[[#This Row],[사용분]]-표3[[#This Row],[연차수당분]]</f>
        <v>0</v>
      </c>
      <c r="P39" s="120"/>
      <c r="Q39" s="125"/>
      <c r="R39" s="125"/>
      <c r="S39" s="125"/>
      <c r="T39" s="125"/>
      <c r="U39" s="125"/>
      <c r="V39" s="125"/>
      <c r="W39" s="183"/>
      <c r="X39" s="125"/>
      <c r="Y39" s="125"/>
      <c r="Z39" s="125"/>
      <c r="AA39" s="139"/>
      <c r="AB39" s="123">
        <f>SUM(표3[[#This Row],[1월]:[12월]])</f>
        <v>0</v>
      </c>
      <c r="AC39" s="140"/>
    </row>
    <row r="40" spans="2:29" ht="21" customHeight="1" x14ac:dyDescent="0.3">
      <c r="B40" s="51" t="s">
        <v>289</v>
      </c>
      <c r="C40" s="51" t="s">
        <v>233</v>
      </c>
      <c r="D40" s="51" t="s">
        <v>246</v>
      </c>
      <c r="E40" s="52">
        <v>44531</v>
      </c>
      <c r="G40" s="141">
        <v>45381</v>
      </c>
      <c r="H40" s="120"/>
      <c r="I40" s="124"/>
      <c r="J40" s="125"/>
      <c r="K40" s="125"/>
      <c r="L40" s="136">
        <f>표3[[#This Row],[발생연차]]+표3[[#This Row],[추가]]-표3[[#This Row],[공제]]</f>
        <v>0</v>
      </c>
      <c r="M40" s="121"/>
      <c r="N40" s="122"/>
      <c r="O40" s="144">
        <f>표3[[#This Row],[총연차]]-표3[[#This Row],[사용분]]-표3[[#This Row],[연차수당분]]</f>
        <v>0</v>
      </c>
      <c r="P40" s="120"/>
      <c r="Q40" s="125"/>
      <c r="R40" s="125"/>
      <c r="S40" s="125"/>
      <c r="T40" s="125"/>
      <c r="U40" s="125"/>
      <c r="V40" s="125"/>
      <c r="W40" s="183"/>
      <c r="X40" s="125"/>
      <c r="Y40" s="125"/>
      <c r="Z40" s="125"/>
      <c r="AA40" s="139"/>
      <c r="AB40" s="123">
        <f>SUM(표3[[#This Row],[1월]:[12월]])</f>
        <v>0</v>
      </c>
      <c r="AC40" s="140"/>
    </row>
    <row r="41" spans="2:29" ht="21" customHeight="1" x14ac:dyDescent="0.3">
      <c r="B41" s="51" t="s">
        <v>336</v>
      </c>
      <c r="C41" s="51" t="s">
        <v>235</v>
      </c>
      <c r="D41" s="51" t="s">
        <v>246</v>
      </c>
      <c r="E41" s="52">
        <v>45019</v>
      </c>
      <c r="G41" s="141">
        <v>45548</v>
      </c>
      <c r="H41" s="120"/>
      <c r="I41" s="124"/>
      <c r="J41" s="125"/>
      <c r="K41" s="125"/>
      <c r="L41" s="136">
        <f>표3[[#This Row],[발생연차]]+표3[[#This Row],[추가]]-표3[[#This Row],[공제]]</f>
        <v>0</v>
      </c>
      <c r="M41" s="121"/>
      <c r="N41" s="122"/>
      <c r="O41" s="144">
        <f>표3[[#This Row],[총연차]]-표3[[#This Row],[사용분]]-표3[[#This Row],[연차수당분]]</f>
        <v>0</v>
      </c>
      <c r="P41" s="120"/>
      <c r="Q41" s="125"/>
      <c r="R41" s="125"/>
      <c r="S41" s="125"/>
      <c r="T41" s="125"/>
      <c r="U41" s="125"/>
      <c r="V41" s="125"/>
      <c r="W41" s="183"/>
      <c r="X41" s="125"/>
      <c r="Y41" s="125"/>
      <c r="Z41" s="125"/>
      <c r="AA41" s="139"/>
      <c r="AB41" s="123">
        <f>SUM(표3[[#This Row],[1월]:[12월]])</f>
        <v>0</v>
      </c>
      <c r="AC41" s="140"/>
    </row>
    <row r="42" spans="2:29" ht="21" customHeight="1" x14ac:dyDescent="0.3">
      <c r="B42" s="51" t="s">
        <v>351</v>
      </c>
      <c r="C42" s="51" t="s">
        <v>233</v>
      </c>
      <c r="D42" s="51" t="s">
        <v>246</v>
      </c>
      <c r="E42" s="52">
        <v>45299</v>
      </c>
      <c r="G42" s="141">
        <v>45668</v>
      </c>
      <c r="H42" s="120"/>
      <c r="I42" s="124"/>
      <c r="J42" s="125"/>
      <c r="K42" s="125"/>
      <c r="L42" s="136">
        <f>표3[[#This Row],[발생연차]]+표3[[#This Row],[추가]]-표3[[#This Row],[공제]]</f>
        <v>0</v>
      </c>
      <c r="M42" s="121"/>
      <c r="N42" s="122"/>
      <c r="O42" s="144">
        <f>표3[[#This Row],[총연차]]-표3[[#This Row],[사용분]]-표3[[#This Row],[연차수당분]]</f>
        <v>0</v>
      </c>
      <c r="P42" s="120"/>
      <c r="Q42" s="125"/>
      <c r="R42" s="125"/>
      <c r="S42" s="125"/>
      <c r="T42" s="125"/>
      <c r="U42" s="125"/>
      <c r="V42" s="125"/>
      <c r="W42" s="183"/>
      <c r="X42" s="125"/>
      <c r="Y42" s="125"/>
      <c r="Z42" s="125"/>
      <c r="AA42" s="139"/>
      <c r="AB42" s="123">
        <f>SUM(표3[[#This Row],[1월]:[12월]])</f>
        <v>0</v>
      </c>
      <c r="AC42" s="140"/>
    </row>
    <row r="43" spans="2:29" ht="21" customHeight="1" x14ac:dyDescent="0.3">
      <c r="B43" s="51" t="s">
        <v>358</v>
      </c>
      <c r="C43" s="51" t="s">
        <v>232</v>
      </c>
      <c r="D43" s="51" t="s">
        <v>244</v>
      </c>
      <c r="E43" s="52">
        <v>45399</v>
      </c>
      <c r="G43" s="141">
        <v>45777</v>
      </c>
      <c r="H43" s="120"/>
      <c r="I43" s="124"/>
      <c r="J43" s="125"/>
      <c r="K43" s="125"/>
      <c r="L43" s="136">
        <f>표3[[#This Row],[발생연차]]+표3[[#This Row],[추가]]-표3[[#This Row],[공제]]</f>
        <v>0</v>
      </c>
      <c r="M43" s="121"/>
      <c r="N43" s="122"/>
      <c r="O43" s="144">
        <f>표3[[#This Row],[총연차]]-표3[[#This Row],[사용분]]-표3[[#This Row],[연차수당분]]</f>
        <v>0</v>
      </c>
      <c r="P43" s="120"/>
      <c r="Q43" s="125"/>
      <c r="R43" s="125"/>
      <c r="S43" s="125"/>
      <c r="T43" s="125"/>
      <c r="U43" s="125"/>
      <c r="V43" s="125"/>
      <c r="W43" s="183"/>
      <c r="X43" s="125"/>
      <c r="Y43" s="125"/>
      <c r="Z43" s="125"/>
      <c r="AA43" s="139"/>
      <c r="AB43" s="123">
        <f>SUM(표3[[#This Row],[1월]:[12월]])</f>
        <v>0</v>
      </c>
      <c r="AC43" s="140"/>
    </row>
    <row r="44" spans="2:29" ht="21" customHeight="1" x14ac:dyDescent="0.3">
      <c r="B44" s="51" t="s">
        <v>229</v>
      </c>
      <c r="C44" s="51" t="s">
        <v>232</v>
      </c>
      <c r="D44" s="51" t="s">
        <v>244</v>
      </c>
      <c r="E44" s="52">
        <v>44277</v>
      </c>
      <c r="G44" s="141">
        <v>45821</v>
      </c>
      <c r="H44" s="120"/>
      <c r="I44" s="124"/>
      <c r="J44" s="125"/>
      <c r="K44" s="125"/>
      <c r="L44" s="136">
        <f>표3[[#This Row],[발생연차]]+표3[[#This Row],[추가]]-표3[[#This Row],[공제]]</f>
        <v>0</v>
      </c>
      <c r="M44" s="121"/>
      <c r="N44" s="122"/>
      <c r="O44" s="144">
        <f>표3[[#This Row],[총연차]]-표3[[#This Row],[사용분]]-표3[[#This Row],[연차수당분]]</f>
        <v>0</v>
      </c>
      <c r="P44" s="120"/>
      <c r="Q44" s="125"/>
      <c r="R44" s="125"/>
      <c r="S44" s="125"/>
      <c r="T44" s="125"/>
      <c r="U44" s="125"/>
      <c r="V44" s="125"/>
      <c r="W44" s="183"/>
      <c r="X44" s="125"/>
      <c r="Y44" s="125"/>
      <c r="Z44" s="125"/>
      <c r="AA44" s="139"/>
      <c r="AB44" s="123">
        <f>SUM(표3[[#This Row],[1월]:[12월]])</f>
        <v>0</v>
      </c>
      <c r="AC44" s="140"/>
    </row>
    <row r="45" spans="2:29" ht="21" customHeight="1" x14ac:dyDescent="0.3">
      <c r="B45" s="51" t="s">
        <v>385</v>
      </c>
      <c r="C45" s="51" t="s">
        <v>232</v>
      </c>
      <c r="D45" s="51" t="s">
        <v>244</v>
      </c>
      <c r="E45" s="52">
        <v>45768</v>
      </c>
      <c r="G45" s="141">
        <v>45883</v>
      </c>
      <c r="H45" s="120"/>
      <c r="I45" s="124"/>
      <c r="J45" s="125"/>
      <c r="K45" s="125"/>
      <c r="L45" s="136">
        <f>표3[[#This Row],[발생연차]]+표3[[#This Row],[추가]]-표3[[#This Row],[공제]]</f>
        <v>0</v>
      </c>
      <c r="M45" s="121"/>
      <c r="N45" s="122"/>
      <c r="O45" s="144">
        <f>표3[[#This Row],[총연차]]-표3[[#This Row],[사용분]]-표3[[#This Row],[연차수당분]]</f>
        <v>0</v>
      </c>
      <c r="P45" s="120"/>
      <c r="Q45" s="125"/>
      <c r="R45" s="125"/>
      <c r="S45" s="125"/>
      <c r="T45" s="125"/>
      <c r="U45" s="125"/>
      <c r="V45" s="125"/>
      <c r="W45" s="183"/>
      <c r="X45" s="125"/>
      <c r="Y45" s="125"/>
      <c r="Z45" s="125"/>
      <c r="AA45" s="139"/>
      <c r="AB45" s="123">
        <f>SUM(표3[[#This Row],[1월]:[12월]])</f>
        <v>0</v>
      </c>
      <c r="AC45" s="140"/>
    </row>
    <row r="46" spans="2:29" ht="21" customHeight="1" x14ac:dyDescent="0.3">
      <c r="B46" s="51" t="s">
        <v>348</v>
      </c>
      <c r="C46" s="51" t="s">
        <v>232</v>
      </c>
      <c r="D46" s="51" t="s">
        <v>246</v>
      </c>
      <c r="E46" s="52">
        <v>45159</v>
      </c>
      <c r="G46" s="141">
        <v>45915</v>
      </c>
      <c r="H46" s="120"/>
      <c r="I46" s="124"/>
      <c r="J46" s="125"/>
      <c r="K46" s="125"/>
      <c r="L46" s="136">
        <f>표3[[#This Row],[발생연차]]+표3[[#This Row],[추가]]-표3[[#This Row],[공제]]</f>
        <v>0</v>
      </c>
      <c r="M46" s="121"/>
      <c r="N46" s="122"/>
      <c r="O46" s="144">
        <f>표3[[#This Row],[총연차]]-표3[[#This Row],[사용분]]-표3[[#This Row],[연차수당분]]</f>
        <v>0</v>
      </c>
      <c r="P46" s="120"/>
      <c r="Q46" s="125"/>
      <c r="R46" s="125"/>
      <c r="S46" s="125"/>
      <c r="T46" s="125"/>
      <c r="U46" s="125"/>
      <c r="V46" s="125"/>
      <c r="W46" s="183"/>
      <c r="X46" s="125"/>
      <c r="Y46" s="125"/>
      <c r="Z46" s="125"/>
      <c r="AA46" s="139"/>
      <c r="AB46" s="123">
        <f>SUM(표3[[#This Row],[1월]:[12월]])</f>
        <v>0</v>
      </c>
      <c r="AC46" s="140"/>
    </row>
    <row r="47" spans="2:29" ht="21" customHeight="1" x14ac:dyDescent="0.3">
      <c r="B47" s="51" t="s">
        <v>395</v>
      </c>
      <c r="C47" s="51" t="s">
        <v>232</v>
      </c>
      <c r="D47" s="51" t="s">
        <v>246</v>
      </c>
      <c r="E47" s="52">
        <v>45894</v>
      </c>
      <c r="G47" s="141">
        <v>45900</v>
      </c>
      <c r="H47" s="120"/>
      <c r="I47" s="124"/>
      <c r="J47" s="125"/>
      <c r="K47" s="125"/>
      <c r="L47" s="136">
        <f>표3[[#This Row],[발생연차]]+표3[[#This Row],[추가]]-표3[[#This Row],[공제]]</f>
        <v>0</v>
      </c>
      <c r="M47" s="121"/>
      <c r="N47" s="122"/>
      <c r="O47" s="144">
        <f>표3[[#This Row],[총연차]]-표3[[#This Row],[사용분]]-표3[[#This Row],[연차수당분]]</f>
        <v>0</v>
      </c>
      <c r="P47" s="120"/>
      <c r="Q47" s="125"/>
      <c r="R47" s="125"/>
      <c r="S47" s="125"/>
      <c r="T47" s="125"/>
      <c r="U47" s="125"/>
      <c r="V47" s="125"/>
      <c r="W47" s="183"/>
      <c r="X47" s="125"/>
      <c r="Y47" s="125"/>
      <c r="Z47" s="125"/>
      <c r="AA47" s="139"/>
      <c r="AB47" s="123">
        <f>SUM(표3[[#This Row],[1월]:[12월]])</f>
        <v>0</v>
      </c>
      <c r="AC47" s="140"/>
    </row>
    <row r="48" spans="2:29" ht="21" customHeight="1" x14ac:dyDescent="0.3">
      <c r="G48" s="141"/>
      <c r="H48" s="120"/>
      <c r="I48" s="124"/>
      <c r="J48" s="125"/>
      <c r="K48" s="125"/>
      <c r="L48" s="136">
        <f>표3[[#This Row],[발생연차]]+표3[[#This Row],[추가]]-표3[[#This Row],[공제]]</f>
        <v>0</v>
      </c>
      <c r="M48" s="121"/>
      <c r="N48" s="122"/>
      <c r="O48" s="144">
        <f>표3[[#This Row],[총연차]]-표3[[#This Row],[사용분]]-표3[[#This Row],[연차수당분]]</f>
        <v>0</v>
      </c>
      <c r="P48" s="120"/>
      <c r="Q48" s="125"/>
      <c r="R48" s="125"/>
      <c r="S48" s="125"/>
      <c r="T48" s="125"/>
      <c r="U48" s="125"/>
      <c r="V48" s="125"/>
      <c r="W48" s="183"/>
      <c r="X48" s="125"/>
      <c r="Y48" s="125"/>
      <c r="Z48" s="125"/>
      <c r="AA48" s="139"/>
      <c r="AB48" s="123">
        <f>SUM(표3[[#This Row],[1월]:[12월]])</f>
        <v>0</v>
      </c>
      <c r="AC48" s="140"/>
    </row>
    <row r="49" spans="7:29" ht="21" customHeight="1" x14ac:dyDescent="0.3">
      <c r="G49" s="141"/>
      <c r="H49" s="120"/>
      <c r="I49" s="124"/>
      <c r="J49" s="125"/>
      <c r="K49" s="125"/>
      <c r="L49" s="136">
        <f>표3[[#This Row],[발생연차]]+표3[[#This Row],[추가]]-표3[[#This Row],[공제]]</f>
        <v>0</v>
      </c>
      <c r="M49" s="121"/>
      <c r="N49" s="122"/>
      <c r="O49" s="144">
        <f>표3[[#This Row],[총연차]]-표3[[#This Row],[사용분]]-표3[[#This Row],[연차수당분]]</f>
        <v>0</v>
      </c>
      <c r="P49" s="120"/>
      <c r="Q49" s="125"/>
      <c r="R49" s="125"/>
      <c r="S49" s="125"/>
      <c r="T49" s="125"/>
      <c r="U49" s="125"/>
      <c r="V49" s="125"/>
      <c r="W49" s="183"/>
      <c r="X49" s="125"/>
      <c r="Y49" s="125"/>
      <c r="Z49" s="125"/>
      <c r="AA49" s="139"/>
      <c r="AB49" s="123">
        <f>SUM(표3[[#This Row],[1월]:[12월]])</f>
        <v>0</v>
      </c>
      <c r="AC49" s="140"/>
    </row>
    <row r="50" spans="7:29" ht="21" customHeight="1" x14ac:dyDescent="0.3">
      <c r="G50" s="141"/>
      <c r="H50" s="120"/>
      <c r="I50" s="124"/>
      <c r="J50" s="125"/>
      <c r="K50" s="125"/>
      <c r="L50" s="136">
        <f>표3[[#This Row],[발생연차]]+표3[[#This Row],[추가]]-표3[[#This Row],[공제]]</f>
        <v>0</v>
      </c>
      <c r="M50" s="121"/>
      <c r="N50" s="122"/>
      <c r="O50" s="144">
        <f>표3[[#This Row],[총연차]]-표3[[#This Row],[사용분]]-표3[[#This Row],[연차수당분]]</f>
        <v>0</v>
      </c>
      <c r="P50" s="120"/>
      <c r="Q50" s="125"/>
      <c r="R50" s="125"/>
      <c r="S50" s="125"/>
      <c r="T50" s="125"/>
      <c r="U50" s="125"/>
      <c r="V50" s="125"/>
      <c r="W50" s="183"/>
      <c r="X50" s="125"/>
      <c r="Y50" s="125"/>
      <c r="Z50" s="125"/>
      <c r="AA50" s="139"/>
      <c r="AB50" s="123">
        <f>SUM(표3[[#This Row],[1월]:[12월]])</f>
        <v>0</v>
      </c>
      <c r="AC50" s="140"/>
    </row>
    <row r="51" spans="7:29" ht="21" customHeight="1" x14ac:dyDescent="0.3">
      <c r="G51" s="141"/>
      <c r="H51" s="120"/>
      <c r="I51" s="124"/>
      <c r="J51" s="125"/>
      <c r="K51" s="125"/>
      <c r="L51" s="136">
        <f>표3[[#This Row],[발생연차]]+표3[[#This Row],[추가]]-표3[[#This Row],[공제]]</f>
        <v>0</v>
      </c>
      <c r="M51" s="121"/>
      <c r="N51" s="122"/>
      <c r="O51" s="144">
        <f>표3[[#This Row],[총연차]]-표3[[#This Row],[사용분]]-표3[[#This Row],[연차수당분]]</f>
        <v>0</v>
      </c>
      <c r="P51" s="120"/>
      <c r="Q51" s="125"/>
      <c r="R51" s="125"/>
      <c r="S51" s="125"/>
      <c r="T51" s="125"/>
      <c r="U51" s="125"/>
      <c r="V51" s="125"/>
      <c r="W51" s="183"/>
      <c r="X51" s="125"/>
      <c r="Y51" s="125"/>
      <c r="Z51" s="125"/>
      <c r="AA51" s="139"/>
      <c r="AB51" s="123">
        <f>SUM(표3[[#This Row],[1월]:[12월]])</f>
        <v>0</v>
      </c>
      <c r="AC51" s="140"/>
    </row>
    <row r="52" spans="7:29" ht="21" customHeight="1" x14ac:dyDescent="0.3">
      <c r="G52" s="141"/>
      <c r="H52" s="120"/>
      <c r="I52" s="124"/>
      <c r="J52" s="125"/>
      <c r="K52" s="125"/>
      <c r="L52" s="136">
        <f>표3[[#This Row],[발생연차]]+표3[[#This Row],[추가]]-표3[[#This Row],[공제]]</f>
        <v>0</v>
      </c>
      <c r="M52" s="121"/>
      <c r="N52" s="122"/>
      <c r="O52" s="144">
        <f>표3[[#This Row],[총연차]]-표3[[#This Row],[사용분]]-표3[[#This Row],[연차수당분]]</f>
        <v>0</v>
      </c>
      <c r="P52" s="120"/>
      <c r="Q52" s="125"/>
      <c r="R52" s="125"/>
      <c r="S52" s="125"/>
      <c r="T52" s="125"/>
      <c r="U52" s="125"/>
      <c r="V52" s="125"/>
      <c r="W52" s="183"/>
      <c r="X52" s="125"/>
      <c r="Y52" s="125"/>
      <c r="Z52" s="125"/>
      <c r="AA52" s="139"/>
      <c r="AB52" s="123">
        <f>SUM(표3[[#This Row],[1월]:[12월]])</f>
        <v>0</v>
      </c>
      <c r="AC52" s="140"/>
    </row>
    <row r="53" spans="7:29" ht="21" customHeight="1" x14ac:dyDescent="0.3">
      <c r="G53" s="141"/>
      <c r="H53" s="120"/>
      <c r="I53" s="124"/>
      <c r="J53" s="125"/>
      <c r="K53" s="125"/>
      <c r="L53" s="136">
        <f>표3[[#This Row],[발생연차]]+표3[[#This Row],[추가]]-표3[[#This Row],[공제]]</f>
        <v>0</v>
      </c>
      <c r="M53" s="121"/>
      <c r="N53" s="122"/>
      <c r="O53" s="144">
        <f>표3[[#This Row],[총연차]]-표3[[#This Row],[사용분]]-표3[[#This Row],[연차수당분]]</f>
        <v>0</v>
      </c>
      <c r="P53" s="120"/>
      <c r="Q53" s="125"/>
      <c r="R53" s="125"/>
      <c r="S53" s="125"/>
      <c r="T53" s="125"/>
      <c r="U53" s="125"/>
      <c r="V53" s="125"/>
      <c r="W53" s="183"/>
      <c r="X53" s="125"/>
      <c r="Y53" s="125"/>
      <c r="Z53" s="125"/>
      <c r="AA53" s="139"/>
      <c r="AB53" s="123">
        <f>SUM(표3[[#This Row],[1월]:[12월]])</f>
        <v>0</v>
      </c>
      <c r="AC53" s="140"/>
    </row>
    <row r="54" spans="7:29" ht="21" customHeight="1" x14ac:dyDescent="0.3">
      <c r="G54" s="141"/>
      <c r="H54" s="120"/>
      <c r="I54" s="124"/>
      <c r="J54" s="125"/>
      <c r="K54" s="125"/>
      <c r="L54" s="136">
        <f>표3[[#This Row],[발생연차]]+표3[[#This Row],[추가]]-표3[[#This Row],[공제]]</f>
        <v>0</v>
      </c>
      <c r="M54" s="121"/>
      <c r="N54" s="122"/>
      <c r="O54" s="144">
        <f>표3[[#This Row],[총연차]]-표3[[#This Row],[사용분]]-표3[[#This Row],[연차수당분]]</f>
        <v>0</v>
      </c>
      <c r="P54" s="120"/>
      <c r="Q54" s="125"/>
      <c r="R54" s="125"/>
      <c r="S54" s="125"/>
      <c r="T54" s="125"/>
      <c r="U54" s="125"/>
      <c r="V54" s="125"/>
      <c r="W54" s="183"/>
      <c r="X54" s="125"/>
      <c r="Y54" s="125"/>
      <c r="Z54" s="125"/>
      <c r="AA54" s="139"/>
      <c r="AB54" s="123">
        <f>SUM(표3[[#This Row],[1월]:[12월]])</f>
        <v>0</v>
      </c>
      <c r="AC54" s="140"/>
    </row>
    <row r="55" spans="7:29" ht="21" customHeight="1" x14ac:dyDescent="0.3">
      <c r="G55" s="141"/>
      <c r="H55" s="120"/>
      <c r="I55" s="124"/>
      <c r="J55" s="125"/>
      <c r="K55" s="125"/>
      <c r="L55" s="136">
        <f>표3[[#This Row],[발생연차]]+표3[[#This Row],[추가]]-표3[[#This Row],[공제]]</f>
        <v>0</v>
      </c>
      <c r="M55" s="121"/>
      <c r="N55" s="122"/>
      <c r="O55" s="144">
        <f>표3[[#This Row],[총연차]]-표3[[#This Row],[사용분]]-표3[[#This Row],[연차수당분]]</f>
        <v>0</v>
      </c>
      <c r="P55" s="120"/>
      <c r="Q55" s="125"/>
      <c r="R55" s="125"/>
      <c r="S55" s="125"/>
      <c r="T55" s="125"/>
      <c r="U55" s="125"/>
      <c r="V55" s="125"/>
      <c r="W55" s="183"/>
      <c r="X55" s="125"/>
      <c r="Y55" s="125"/>
      <c r="Z55" s="125"/>
      <c r="AA55" s="139"/>
      <c r="AB55" s="123">
        <f>SUM(표3[[#This Row],[1월]:[12월]])</f>
        <v>0</v>
      </c>
      <c r="AC55" s="140"/>
    </row>
    <row r="56" spans="7:29" ht="21" customHeight="1" x14ac:dyDescent="0.3">
      <c r="G56" s="141"/>
      <c r="H56" s="120"/>
      <c r="I56" s="124"/>
      <c r="J56" s="125"/>
      <c r="K56" s="125"/>
      <c r="L56" s="136">
        <f>표3[[#This Row],[발생연차]]+표3[[#This Row],[추가]]-표3[[#This Row],[공제]]</f>
        <v>0</v>
      </c>
      <c r="M56" s="121"/>
      <c r="N56" s="122"/>
      <c r="O56" s="144">
        <f>표3[[#This Row],[총연차]]-표3[[#This Row],[사용분]]-표3[[#This Row],[연차수당분]]</f>
        <v>0</v>
      </c>
      <c r="P56" s="120"/>
      <c r="Q56" s="125"/>
      <c r="R56" s="125"/>
      <c r="S56" s="125"/>
      <c r="T56" s="125"/>
      <c r="U56" s="125"/>
      <c r="V56" s="125"/>
      <c r="W56" s="183"/>
      <c r="X56" s="125"/>
      <c r="Y56" s="125"/>
      <c r="Z56" s="125"/>
      <c r="AA56" s="139"/>
      <c r="AB56" s="123">
        <f>SUM(표3[[#This Row],[1월]:[12월]])</f>
        <v>0</v>
      </c>
      <c r="AC56" s="140"/>
    </row>
    <row r="57" spans="7:29" ht="21" customHeight="1" x14ac:dyDescent="0.3">
      <c r="G57" s="141"/>
      <c r="H57" s="120"/>
      <c r="I57" s="124"/>
      <c r="J57" s="125"/>
      <c r="K57" s="125"/>
      <c r="L57" s="136">
        <f>표3[[#This Row],[발생연차]]+표3[[#This Row],[추가]]-표3[[#This Row],[공제]]</f>
        <v>0</v>
      </c>
      <c r="M57" s="121"/>
      <c r="N57" s="122"/>
      <c r="O57" s="144">
        <f>표3[[#This Row],[총연차]]-표3[[#This Row],[사용분]]-표3[[#This Row],[연차수당분]]</f>
        <v>0</v>
      </c>
      <c r="P57" s="120"/>
      <c r="Q57" s="125"/>
      <c r="R57" s="125"/>
      <c r="S57" s="125"/>
      <c r="T57" s="125"/>
      <c r="U57" s="125"/>
      <c r="V57" s="125"/>
      <c r="W57" s="183"/>
      <c r="X57" s="125"/>
      <c r="Y57" s="125"/>
      <c r="Z57" s="125"/>
      <c r="AA57" s="139"/>
      <c r="AB57" s="123">
        <f>SUM(표3[[#This Row],[1월]:[12월]])</f>
        <v>0</v>
      </c>
      <c r="AC57" s="140"/>
    </row>
    <row r="58" spans="7:29" ht="21" customHeight="1" x14ac:dyDescent="0.3">
      <c r="G58" s="141"/>
      <c r="H58" s="120"/>
      <c r="I58" s="124"/>
      <c r="J58" s="125"/>
      <c r="K58" s="125"/>
      <c r="L58" s="136">
        <f>표3[[#This Row],[발생연차]]+표3[[#This Row],[추가]]-표3[[#This Row],[공제]]</f>
        <v>0</v>
      </c>
      <c r="M58" s="121"/>
      <c r="N58" s="122"/>
      <c r="O58" s="144">
        <f>표3[[#This Row],[총연차]]-표3[[#This Row],[사용분]]-표3[[#This Row],[연차수당분]]</f>
        <v>0</v>
      </c>
      <c r="P58" s="120"/>
      <c r="Q58" s="125"/>
      <c r="R58" s="125"/>
      <c r="S58" s="125"/>
      <c r="T58" s="125"/>
      <c r="U58" s="125"/>
      <c r="V58" s="125"/>
      <c r="W58" s="183"/>
      <c r="X58" s="125"/>
      <c r="Y58" s="125"/>
      <c r="Z58" s="125"/>
      <c r="AA58" s="139"/>
      <c r="AB58" s="123">
        <f>SUM(표3[[#This Row],[1월]:[12월]])</f>
        <v>0</v>
      </c>
      <c r="AC58" s="140"/>
    </row>
    <row r="59" spans="7:29" ht="21" customHeight="1" x14ac:dyDescent="0.3">
      <c r="G59" s="141"/>
      <c r="H59" s="120"/>
      <c r="I59" s="124"/>
      <c r="J59" s="125"/>
      <c r="K59" s="125"/>
      <c r="L59" s="136">
        <f>표3[[#This Row],[발생연차]]+표3[[#This Row],[추가]]-표3[[#This Row],[공제]]</f>
        <v>0</v>
      </c>
      <c r="M59" s="121"/>
      <c r="N59" s="122"/>
      <c r="O59" s="144">
        <f>표3[[#This Row],[총연차]]-표3[[#This Row],[사용분]]-표3[[#This Row],[연차수당분]]</f>
        <v>0</v>
      </c>
      <c r="P59" s="120"/>
      <c r="Q59" s="125"/>
      <c r="R59" s="125"/>
      <c r="S59" s="125"/>
      <c r="T59" s="125"/>
      <c r="U59" s="125"/>
      <c r="V59" s="125"/>
      <c r="W59" s="183"/>
      <c r="X59" s="125"/>
      <c r="Y59" s="125"/>
      <c r="Z59" s="125"/>
      <c r="AA59" s="139"/>
      <c r="AB59" s="123">
        <f>SUM(표3[[#This Row],[1월]:[12월]])</f>
        <v>0</v>
      </c>
      <c r="AC59" s="140"/>
    </row>
    <row r="60" spans="7:29" ht="21" customHeight="1" x14ac:dyDescent="0.3">
      <c r="G60" s="141"/>
      <c r="H60" s="120"/>
      <c r="I60" s="124"/>
      <c r="J60" s="125"/>
      <c r="K60" s="125"/>
      <c r="L60" s="136">
        <f>표3[[#This Row],[발생연차]]+표3[[#This Row],[추가]]-표3[[#This Row],[공제]]</f>
        <v>0</v>
      </c>
      <c r="M60" s="121"/>
      <c r="N60" s="122"/>
      <c r="O60" s="144">
        <f>표3[[#This Row],[총연차]]-표3[[#This Row],[사용분]]-표3[[#This Row],[연차수당분]]</f>
        <v>0</v>
      </c>
      <c r="P60" s="120"/>
      <c r="Q60" s="125"/>
      <c r="R60" s="125"/>
      <c r="S60" s="125"/>
      <c r="T60" s="125"/>
      <c r="U60" s="125"/>
      <c r="V60" s="125"/>
      <c r="W60" s="183"/>
      <c r="X60" s="125"/>
      <c r="Y60" s="125"/>
      <c r="Z60" s="125"/>
      <c r="AA60" s="139"/>
      <c r="AB60" s="123">
        <f>SUM(표3[[#This Row],[1월]:[12월]])</f>
        <v>0</v>
      </c>
      <c r="AC60" s="140"/>
    </row>
    <row r="61" spans="7:29" ht="21" customHeight="1" x14ac:dyDescent="0.3">
      <c r="G61" s="141"/>
      <c r="H61" s="120"/>
      <c r="I61" s="124"/>
      <c r="J61" s="125"/>
      <c r="K61" s="125"/>
      <c r="L61" s="136">
        <f>표3[[#This Row],[발생연차]]+표3[[#This Row],[추가]]-표3[[#This Row],[공제]]</f>
        <v>0</v>
      </c>
      <c r="M61" s="121"/>
      <c r="N61" s="122"/>
      <c r="O61" s="144">
        <f>표3[[#This Row],[총연차]]-표3[[#This Row],[사용분]]-표3[[#This Row],[연차수당분]]</f>
        <v>0</v>
      </c>
      <c r="P61" s="120"/>
      <c r="Q61" s="125"/>
      <c r="R61" s="125"/>
      <c r="S61" s="125"/>
      <c r="T61" s="125"/>
      <c r="U61" s="125"/>
      <c r="V61" s="125"/>
      <c r="W61" s="183"/>
      <c r="X61" s="125"/>
      <c r="Y61" s="125"/>
      <c r="Z61" s="125"/>
      <c r="AA61" s="139"/>
      <c r="AB61" s="123">
        <f>SUM(표3[[#This Row],[1월]:[12월]])</f>
        <v>0</v>
      </c>
      <c r="AC61" s="140"/>
    </row>
    <row r="62" spans="7:29" ht="21" customHeight="1" x14ac:dyDescent="0.3">
      <c r="G62" s="141"/>
      <c r="H62" s="120"/>
      <c r="I62" s="124"/>
      <c r="J62" s="125"/>
      <c r="K62" s="125"/>
      <c r="L62" s="136">
        <f>표3[[#This Row],[발생연차]]+표3[[#This Row],[추가]]-표3[[#This Row],[공제]]</f>
        <v>0</v>
      </c>
      <c r="M62" s="121"/>
      <c r="N62" s="122"/>
      <c r="O62" s="144">
        <f>표3[[#This Row],[총연차]]-표3[[#This Row],[사용분]]-표3[[#This Row],[연차수당분]]</f>
        <v>0</v>
      </c>
      <c r="P62" s="120"/>
      <c r="Q62" s="125"/>
      <c r="R62" s="125"/>
      <c r="S62" s="125"/>
      <c r="T62" s="125"/>
      <c r="U62" s="125"/>
      <c r="V62" s="125"/>
      <c r="W62" s="183"/>
      <c r="X62" s="125"/>
      <c r="Y62" s="125"/>
      <c r="Z62" s="125"/>
      <c r="AA62" s="139"/>
      <c r="AB62" s="123">
        <f>SUM(표3[[#This Row],[1월]:[12월]])</f>
        <v>0</v>
      </c>
      <c r="AC62" s="140"/>
    </row>
    <row r="63" spans="7:29" ht="21" customHeight="1" x14ac:dyDescent="0.3">
      <c r="G63" s="141"/>
      <c r="H63" s="120"/>
      <c r="I63" s="124"/>
      <c r="J63" s="125"/>
      <c r="K63" s="125"/>
      <c r="L63" s="136">
        <f>표3[[#This Row],[발생연차]]+표3[[#This Row],[추가]]-표3[[#This Row],[공제]]</f>
        <v>0</v>
      </c>
      <c r="M63" s="121"/>
      <c r="N63" s="122"/>
      <c r="O63" s="144">
        <f>표3[[#This Row],[총연차]]-표3[[#This Row],[사용분]]-표3[[#This Row],[연차수당분]]</f>
        <v>0</v>
      </c>
      <c r="P63" s="120"/>
      <c r="Q63" s="125"/>
      <c r="R63" s="125"/>
      <c r="S63" s="125"/>
      <c r="T63" s="125"/>
      <c r="U63" s="125"/>
      <c r="V63" s="125"/>
      <c r="W63" s="183"/>
      <c r="X63" s="125"/>
      <c r="Y63" s="125"/>
      <c r="Z63" s="125"/>
      <c r="AA63" s="139"/>
      <c r="AB63" s="123">
        <f>SUM(표3[[#This Row],[1월]:[12월]])</f>
        <v>0</v>
      </c>
      <c r="AC63" s="140"/>
    </row>
    <row r="64" spans="7:29" ht="21" customHeight="1" x14ac:dyDescent="0.3">
      <c r="G64" s="141"/>
      <c r="H64" s="120"/>
      <c r="I64" s="124"/>
      <c r="J64" s="125"/>
      <c r="K64" s="125"/>
      <c r="L64" s="136">
        <f>표3[[#This Row],[발생연차]]+표3[[#This Row],[추가]]-표3[[#This Row],[공제]]</f>
        <v>0</v>
      </c>
      <c r="M64" s="121"/>
      <c r="N64" s="122"/>
      <c r="O64" s="144">
        <f>표3[[#This Row],[총연차]]-표3[[#This Row],[사용분]]-표3[[#This Row],[연차수당분]]</f>
        <v>0</v>
      </c>
      <c r="P64" s="120"/>
      <c r="Q64" s="125"/>
      <c r="R64" s="125"/>
      <c r="S64" s="125"/>
      <c r="T64" s="125"/>
      <c r="U64" s="125"/>
      <c r="V64" s="125"/>
      <c r="W64" s="183"/>
      <c r="X64" s="125"/>
      <c r="Y64" s="125"/>
      <c r="Z64" s="125"/>
      <c r="AA64" s="139"/>
      <c r="AB64" s="123">
        <f>SUM(표3[[#This Row],[1월]:[12월]])</f>
        <v>0</v>
      </c>
      <c r="AC64" s="140"/>
    </row>
    <row r="65" spans="7:29" ht="21" customHeight="1" x14ac:dyDescent="0.3">
      <c r="G65" s="141"/>
      <c r="H65" s="120"/>
      <c r="I65" s="124"/>
      <c r="J65" s="125"/>
      <c r="K65" s="125"/>
      <c r="L65" s="136">
        <f>표3[[#This Row],[발생연차]]+표3[[#This Row],[추가]]-표3[[#This Row],[공제]]</f>
        <v>0</v>
      </c>
      <c r="M65" s="121"/>
      <c r="N65" s="122"/>
      <c r="O65" s="144">
        <f>표3[[#This Row],[총연차]]-표3[[#This Row],[사용분]]-표3[[#This Row],[연차수당분]]</f>
        <v>0</v>
      </c>
      <c r="P65" s="120"/>
      <c r="Q65" s="125"/>
      <c r="R65" s="125"/>
      <c r="S65" s="125"/>
      <c r="T65" s="125"/>
      <c r="U65" s="125"/>
      <c r="V65" s="125"/>
      <c r="W65" s="183"/>
      <c r="X65" s="125"/>
      <c r="Y65" s="125"/>
      <c r="Z65" s="125"/>
      <c r="AA65" s="139"/>
      <c r="AB65" s="123">
        <f>SUM(표3[[#This Row],[1월]:[12월]])</f>
        <v>0</v>
      </c>
      <c r="AC65" s="140"/>
    </row>
    <row r="66" spans="7:29" ht="21" customHeight="1" x14ac:dyDescent="0.3">
      <c r="G66" s="141"/>
      <c r="H66" s="120"/>
      <c r="I66" s="124"/>
      <c r="J66" s="125"/>
      <c r="K66" s="125"/>
      <c r="L66" s="136">
        <f>표3[[#This Row],[발생연차]]+표3[[#This Row],[추가]]-표3[[#This Row],[공제]]</f>
        <v>0</v>
      </c>
      <c r="M66" s="121"/>
      <c r="N66" s="122"/>
      <c r="O66" s="144">
        <f>표3[[#This Row],[총연차]]-표3[[#This Row],[사용분]]-표3[[#This Row],[연차수당분]]</f>
        <v>0</v>
      </c>
      <c r="P66" s="120"/>
      <c r="Q66" s="125"/>
      <c r="R66" s="125"/>
      <c r="S66" s="125"/>
      <c r="T66" s="125"/>
      <c r="U66" s="125"/>
      <c r="V66" s="125"/>
      <c r="W66" s="183"/>
      <c r="X66" s="125"/>
      <c r="Y66" s="125"/>
      <c r="Z66" s="125"/>
      <c r="AA66" s="139"/>
      <c r="AB66" s="123">
        <f>SUM(표3[[#This Row],[1월]:[12월]])</f>
        <v>0</v>
      </c>
      <c r="AC66" s="140"/>
    </row>
    <row r="67" spans="7:29" ht="21" customHeight="1" x14ac:dyDescent="0.3">
      <c r="G67" s="141"/>
      <c r="H67" s="120"/>
      <c r="I67" s="124"/>
      <c r="J67" s="125"/>
      <c r="K67" s="125"/>
      <c r="L67" s="136">
        <f>표3[[#This Row],[발생연차]]+표3[[#This Row],[추가]]-표3[[#This Row],[공제]]</f>
        <v>0</v>
      </c>
      <c r="M67" s="121"/>
      <c r="N67" s="122"/>
      <c r="O67" s="144">
        <f>표3[[#This Row],[총연차]]-표3[[#This Row],[사용분]]-표3[[#This Row],[연차수당분]]</f>
        <v>0</v>
      </c>
      <c r="P67" s="120"/>
      <c r="Q67" s="125"/>
      <c r="R67" s="125"/>
      <c r="S67" s="125"/>
      <c r="T67" s="125"/>
      <c r="U67" s="125"/>
      <c r="V67" s="125"/>
      <c r="W67" s="183"/>
      <c r="X67" s="125"/>
      <c r="Y67" s="125"/>
      <c r="Z67" s="125"/>
      <c r="AA67" s="139"/>
      <c r="AB67" s="123">
        <f>SUM(표3[[#This Row],[1월]:[12월]])</f>
        <v>0</v>
      </c>
      <c r="AC67" s="140"/>
    </row>
    <row r="68" spans="7:29" ht="21" customHeight="1" x14ac:dyDescent="0.3">
      <c r="G68" s="141"/>
      <c r="H68" s="120"/>
      <c r="I68" s="124"/>
      <c r="J68" s="125"/>
      <c r="K68" s="125"/>
      <c r="L68" s="136">
        <f>표3[[#This Row],[발생연차]]+표3[[#This Row],[추가]]-표3[[#This Row],[공제]]</f>
        <v>0</v>
      </c>
      <c r="M68" s="121"/>
      <c r="N68" s="122"/>
      <c r="O68" s="144">
        <f>표3[[#This Row],[총연차]]-표3[[#This Row],[사용분]]-표3[[#This Row],[연차수당분]]</f>
        <v>0</v>
      </c>
      <c r="P68" s="120"/>
      <c r="Q68" s="125"/>
      <c r="R68" s="125"/>
      <c r="S68" s="125"/>
      <c r="T68" s="125"/>
      <c r="U68" s="125"/>
      <c r="V68" s="125"/>
      <c r="W68" s="183"/>
      <c r="X68" s="125"/>
      <c r="Y68" s="125"/>
      <c r="Z68" s="125"/>
      <c r="AA68" s="139"/>
      <c r="AB68" s="123">
        <f>SUM(표3[[#This Row],[1월]:[12월]])</f>
        <v>0</v>
      </c>
      <c r="AC68" s="140"/>
    </row>
    <row r="69" spans="7:29" ht="21" customHeight="1" x14ac:dyDescent="0.3">
      <c r="G69" s="141"/>
      <c r="H69" s="120"/>
      <c r="I69" s="124"/>
      <c r="J69" s="125"/>
      <c r="K69" s="125"/>
      <c r="L69" s="136">
        <f>표3[[#This Row],[발생연차]]+표3[[#This Row],[추가]]-표3[[#This Row],[공제]]</f>
        <v>0</v>
      </c>
      <c r="M69" s="121"/>
      <c r="N69" s="122"/>
      <c r="O69" s="144">
        <f>표3[[#This Row],[총연차]]-표3[[#This Row],[사용분]]-표3[[#This Row],[연차수당분]]</f>
        <v>0</v>
      </c>
      <c r="P69" s="120"/>
      <c r="Q69" s="125"/>
      <c r="R69" s="125"/>
      <c r="S69" s="125"/>
      <c r="T69" s="125"/>
      <c r="U69" s="125"/>
      <c r="V69" s="125"/>
      <c r="W69" s="183"/>
      <c r="X69" s="125"/>
      <c r="Y69" s="125"/>
      <c r="Z69" s="125"/>
      <c r="AA69" s="139"/>
      <c r="AB69" s="123">
        <f>SUM(표3[[#This Row],[1월]:[12월]])</f>
        <v>0</v>
      </c>
      <c r="AC69" s="140"/>
    </row>
    <row r="70" spans="7:29" ht="21" customHeight="1" x14ac:dyDescent="0.3">
      <c r="G70" s="141"/>
      <c r="H70" s="120"/>
      <c r="I70" s="124"/>
      <c r="J70" s="125"/>
      <c r="K70" s="125"/>
      <c r="L70" s="136">
        <f>표3[[#This Row],[발생연차]]+표3[[#This Row],[추가]]-표3[[#This Row],[공제]]</f>
        <v>0</v>
      </c>
      <c r="M70" s="121"/>
      <c r="N70" s="122"/>
      <c r="O70" s="144">
        <f>표3[[#This Row],[총연차]]-표3[[#This Row],[사용분]]-표3[[#This Row],[연차수당분]]</f>
        <v>0</v>
      </c>
      <c r="P70" s="120"/>
      <c r="Q70" s="125"/>
      <c r="R70" s="125"/>
      <c r="S70" s="125"/>
      <c r="T70" s="125"/>
      <c r="U70" s="125"/>
      <c r="V70" s="125"/>
      <c r="W70" s="183"/>
      <c r="X70" s="125"/>
      <c r="Y70" s="125"/>
      <c r="Z70" s="125"/>
      <c r="AA70" s="139"/>
      <c r="AB70" s="123">
        <f>SUM(표3[[#This Row],[1월]:[12월]])</f>
        <v>0</v>
      </c>
      <c r="AC70" s="140"/>
    </row>
    <row r="71" spans="7:29" ht="21" customHeight="1" x14ac:dyDescent="0.3">
      <c r="G71" s="141"/>
      <c r="H71" s="120"/>
      <c r="I71" s="124"/>
      <c r="J71" s="125"/>
      <c r="K71" s="125"/>
      <c r="L71" s="136">
        <f>표3[[#This Row],[발생연차]]+표3[[#This Row],[추가]]-표3[[#This Row],[공제]]</f>
        <v>0</v>
      </c>
      <c r="M71" s="121"/>
      <c r="N71" s="122"/>
      <c r="O71" s="144">
        <f>표3[[#This Row],[총연차]]-표3[[#This Row],[사용분]]-표3[[#This Row],[연차수당분]]</f>
        <v>0</v>
      </c>
      <c r="P71" s="120"/>
      <c r="Q71" s="125"/>
      <c r="R71" s="125"/>
      <c r="S71" s="125"/>
      <c r="T71" s="125"/>
      <c r="U71" s="125"/>
      <c r="V71" s="125"/>
      <c r="W71" s="183"/>
      <c r="X71" s="125"/>
      <c r="Y71" s="125"/>
      <c r="Z71" s="125"/>
      <c r="AA71" s="139"/>
      <c r="AB71" s="123">
        <f>SUM(표3[[#This Row],[1월]:[12월]])</f>
        <v>0</v>
      </c>
      <c r="AC71" s="140"/>
    </row>
    <row r="72" spans="7:29" ht="21" customHeight="1" x14ac:dyDescent="0.3">
      <c r="G72" s="141"/>
      <c r="H72" s="120"/>
      <c r="I72" s="124"/>
      <c r="J72" s="125"/>
      <c r="K72" s="125"/>
      <c r="L72" s="136">
        <f>표3[[#This Row],[발생연차]]+표3[[#This Row],[추가]]-표3[[#This Row],[공제]]</f>
        <v>0</v>
      </c>
      <c r="M72" s="121"/>
      <c r="N72" s="122"/>
      <c r="O72" s="144">
        <f>표3[[#This Row],[총연차]]-표3[[#This Row],[사용분]]-표3[[#This Row],[연차수당분]]</f>
        <v>0</v>
      </c>
      <c r="P72" s="120"/>
      <c r="Q72" s="125"/>
      <c r="R72" s="125"/>
      <c r="S72" s="125"/>
      <c r="T72" s="125"/>
      <c r="U72" s="125"/>
      <c r="V72" s="125"/>
      <c r="W72" s="183"/>
      <c r="X72" s="125"/>
      <c r="Y72" s="125"/>
      <c r="Z72" s="125"/>
      <c r="AA72" s="139"/>
      <c r="AB72" s="123">
        <f>SUM(표3[[#This Row],[1월]:[12월]])</f>
        <v>0</v>
      </c>
      <c r="AC72" s="140"/>
    </row>
    <row r="73" spans="7:29" ht="21" customHeight="1" x14ac:dyDescent="0.3">
      <c r="G73" s="141"/>
      <c r="H73" s="120"/>
      <c r="I73" s="124"/>
      <c r="J73" s="125"/>
      <c r="K73" s="125"/>
      <c r="L73" s="136">
        <f>표3[[#This Row],[발생연차]]+표3[[#This Row],[추가]]-표3[[#This Row],[공제]]</f>
        <v>0</v>
      </c>
      <c r="M73" s="121"/>
      <c r="N73" s="122"/>
      <c r="O73" s="144">
        <f>표3[[#This Row],[총연차]]-표3[[#This Row],[사용분]]-표3[[#This Row],[연차수당분]]</f>
        <v>0</v>
      </c>
      <c r="P73" s="120"/>
      <c r="Q73" s="125"/>
      <c r="R73" s="125"/>
      <c r="S73" s="125"/>
      <c r="T73" s="125"/>
      <c r="U73" s="125"/>
      <c r="V73" s="125"/>
      <c r="W73" s="183"/>
      <c r="X73" s="125"/>
      <c r="Y73" s="125"/>
      <c r="Z73" s="125"/>
      <c r="AA73" s="139"/>
      <c r="AB73" s="123">
        <f>SUM(표3[[#This Row],[1월]:[12월]])</f>
        <v>0</v>
      </c>
      <c r="AC73" s="140"/>
    </row>
    <row r="74" spans="7:29" ht="21" customHeight="1" x14ac:dyDescent="0.3">
      <c r="G74" s="141"/>
      <c r="H74" s="120"/>
      <c r="I74" s="124"/>
      <c r="J74" s="125"/>
      <c r="K74" s="125"/>
      <c r="L74" s="136">
        <f>표3[[#This Row],[발생연차]]+표3[[#This Row],[추가]]-표3[[#This Row],[공제]]</f>
        <v>0</v>
      </c>
      <c r="M74" s="121"/>
      <c r="N74" s="122"/>
      <c r="O74" s="144">
        <f>표3[[#This Row],[총연차]]-표3[[#This Row],[사용분]]-표3[[#This Row],[연차수당분]]</f>
        <v>0</v>
      </c>
      <c r="P74" s="120"/>
      <c r="Q74" s="125"/>
      <c r="R74" s="125"/>
      <c r="S74" s="125"/>
      <c r="T74" s="125"/>
      <c r="U74" s="125"/>
      <c r="V74" s="125"/>
      <c r="W74" s="183"/>
      <c r="X74" s="125"/>
      <c r="Y74" s="125"/>
      <c r="Z74" s="125"/>
      <c r="AA74" s="139"/>
      <c r="AB74" s="123">
        <f>SUM(표3[[#This Row],[1월]:[12월]])</f>
        <v>0</v>
      </c>
      <c r="AC74" s="140"/>
    </row>
    <row r="75" spans="7:29" ht="21" customHeight="1" x14ac:dyDescent="0.3">
      <c r="G75" s="141"/>
      <c r="H75" s="120"/>
      <c r="I75" s="124"/>
      <c r="J75" s="125"/>
      <c r="K75" s="125"/>
      <c r="L75" s="136">
        <f>표3[[#This Row],[발생연차]]+표3[[#This Row],[추가]]-표3[[#This Row],[공제]]</f>
        <v>0</v>
      </c>
      <c r="M75" s="121"/>
      <c r="N75" s="122"/>
      <c r="O75" s="144">
        <f>표3[[#This Row],[총연차]]-표3[[#This Row],[사용분]]-표3[[#This Row],[연차수당분]]</f>
        <v>0</v>
      </c>
      <c r="P75" s="120"/>
      <c r="Q75" s="125"/>
      <c r="R75" s="125"/>
      <c r="S75" s="125"/>
      <c r="T75" s="125"/>
      <c r="U75" s="125"/>
      <c r="V75" s="125"/>
      <c r="W75" s="183"/>
      <c r="X75" s="125"/>
      <c r="Y75" s="125"/>
      <c r="Z75" s="125"/>
      <c r="AA75" s="139"/>
      <c r="AB75" s="123">
        <f>SUM(표3[[#This Row],[1월]:[12월]])</f>
        <v>0</v>
      </c>
      <c r="AC75" s="140"/>
    </row>
    <row r="76" spans="7:29" ht="21" customHeight="1" x14ac:dyDescent="0.3">
      <c r="G76" s="141"/>
      <c r="H76" s="120"/>
      <c r="I76" s="124"/>
      <c r="J76" s="125"/>
      <c r="K76" s="125"/>
      <c r="L76" s="136">
        <f>표3[[#This Row],[발생연차]]+표3[[#This Row],[추가]]-표3[[#This Row],[공제]]</f>
        <v>0</v>
      </c>
      <c r="M76" s="121"/>
      <c r="N76" s="122"/>
      <c r="O76" s="144">
        <f>표3[[#This Row],[총연차]]-표3[[#This Row],[사용분]]-표3[[#This Row],[연차수당분]]</f>
        <v>0</v>
      </c>
      <c r="P76" s="120"/>
      <c r="Q76" s="125"/>
      <c r="R76" s="125"/>
      <c r="S76" s="125"/>
      <c r="T76" s="125"/>
      <c r="U76" s="125"/>
      <c r="V76" s="125"/>
      <c r="W76" s="183"/>
      <c r="X76" s="125"/>
      <c r="Y76" s="125"/>
      <c r="Z76" s="125"/>
      <c r="AA76" s="139"/>
      <c r="AB76" s="123">
        <f>SUM(표3[[#This Row],[1월]:[12월]])</f>
        <v>0</v>
      </c>
      <c r="AC76" s="140"/>
    </row>
    <row r="77" spans="7:29" ht="21" customHeight="1" x14ac:dyDescent="0.3">
      <c r="G77" s="141"/>
      <c r="H77" s="120"/>
      <c r="I77" s="124"/>
      <c r="J77" s="125"/>
      <c r="K77" s="125"/>
      <c r="L77" s="136">
        <f>표3[[#This Row],[발생연차]]+표3[[#This Row],[추가]]-표3[[#This Row],[공제]]</f>
        <v>0</v>
      </c>
      <c r="M77" s="121"/>
      <c r="N77" s="122"/>
      <c r="O77" s="144">
        <f>표3[[#This Row],[총연차]]-표3[[#This Row],[사용분]]-표3[[#This Row],[연차수당분]]</f>
        <v>0</v>
      </c>
      <c r="P77" s="120"/>
      <c r="Q77" s="125"/>
      <c r="R77" s="125"/>
      <c r="S77" s="125"/>
      <c r="T77" s="125"/>
      <c r="U77" s="125"/>
      <c r="V77" s="125"/>
      <c r="W77" s="183"/>
      <c r="X77" s="125"/>
      <c r="Y77" s="125"/>
      <c r="Z77" s="125"/>
      <c r="AA77" s="139"/>
      <c r="AB77" s="123">
        <f>SUM(표3[[#This Row],[1월]:[12월]])</f>
        <v>0</v>
      </c>
      <c r="AC77" s="140"/>
    </row>
    <row r="78" spans="7:29" ht="21" customHeight="1" x14ac:dyDescent="0.3">
      <c r="G78" s="141"/>
      <c r="H78" s="120"/>
      <c r="I78" s="124"/>
      <c r="J78" s="125"/>
      <c r="K78" s="125"/>
      <c r="L78" s="136">
        <f>표3[[#This Row],[발생연차]]+표3[[#This Row],[추가]]-표3[[#This Row],[공제]]</f>
        <v>0</v>
      </c>
      <c r="M78" s="121"/>
      <c r="N78" s="122"/>
      <c r="O78" s="144">
        <f>표3[[#This Row],[총연차]]-표3[[#This Row],[사용분]]-표3[[#This Row],[연차수당분]]</f>
        <v>0</v>
      </c>
      <c r="P78" s="120"/>
      <c r="Q78" s="125"/>
      <c r="R78" s="125"/>
      <c r="S78" s="125"/>
      <c r="T78" s="125"/>
      <c r="U78" s="125"/>
      <c r="V78" s="125"/>
      <c r="W78" s="183"/>
      <c r="X78" s="125"/>
      <c r="Y78" s="125"/>
      <c r="Z78" s="125"/>
      <c r="AA78" s="139"/>
      <c r="AB78" s="123">
        <f>SUM(표3[[#This Row],[1월]:[12월]])</f>
        <v>0</v>
      </c>
      <c r="AC78" s="140"/>
    </row>
    <row r="79" spans="7:29" ht="21" customHeight="1" x14ac:dyDescent="0.3">
      <c r="G79" s="141"/>
      <c r="H79" s="120"/>
      <c r="I79" s="124"/>
      <c r="J79" s="125"/>
      <c r="K79" s="125"/>
      <c r="L79" s="136">
        <f>표3[[#This Row],[발생연차]]+표3[[#This Row],[추가]]-표3[[#This Row],[공제]]</f>
        <v>0</v>
      </c>
      <c r="M79" s="121"/>
      <c r="N79" s="122"/>
      <c r="O79" s="144">
        <f>표3[[#This Row],[총연차]]-표3[[#This Row],[사용분]]-표3[[#This Row],[연차수당분]]</f>
        <v>0</v>
      </c>
      <c r="P79" s="120"/>
      <c r="Q79" s="125"/>
      <c r="R79" s="125"/>
      <c r="S79" s="125"/>
      <c r="T79" s="125"/>
      <c r="U79" s="125"/>
      <c r="V79" s="125"/>
      <c r="W79" s="183"/>
      <c r="X79" s="125"/>
      <c r="Y79" s="125"/>
      <c r="Z79" s="125"/>
      <c r="AA79" s="139"/>
      <c r="AB79" s="123">
        <f>SUM(표3[[#This Row],[1월]:[12월]])</f>
        <v>0</v>
      </c>
      <c r="AC79" s="140"/>
    </row>
    <row r="80" spans="7:29" ht="21" customHeight="1" x14ac:dyDescent="0.3">
      <c r="G80" s="141"/>
      <c r="H80" s="120"/>
      <c r="I80" s="124"/>
      <c r="J80" s="125"/>
      <c r="K80" s="125"/>
      <c r="L80" s="136">
        <f>표3[[#This Row],[발생연차]]+표3[[#This Row],[추가]]-표3[[#This Row],[공제]]</f>
        <v>0</v>
      </c>
      <c r="M80" s="121"/>
      <c r="N80" s="122"/>
      <c r="O80" s="144">
        <f>표3[[#This Row],[총연차]]-표3[[#This Row],[사용분]]-표3[[#This Row],[연차수당분]]</f>
        <v>0</v>
      </c>
      <c r="P80" s="120"/>
      <c r="Q80" s="125"/>
      <c r="R80" s="125"/>
      <c r="S80" s="125"/>
      <c r="T80" s="125"/>
      <c r="U80" s="125"/>
      <c r="V80" s="125"/>
      <c r="W80" s="183"/>
      <c r="X80" s="125"/>
      <c r="Y80" s="125"/>
      <c r="Z80" s="125"/>
      <c r="AA80" s="139"/>
      <c r="AB80" s="123">
        <f>SUM(표3[[#This Row],[1월]:[12월]])</f>
        <v>0</v>
      </c>
      <c r="AC80" s="140"/>
    </row>
    <row r="81" spans="7:29" ht="21" customHeight="1" x14ac:dyDescent="0.3">
      <c r="G81" s="141"/>
      <c r="H81" s="120"/>
      <c r="I81" s="124"/>
      <c r="J81" s="125"/>
      <c r="K81" s="125"/>
      <c r="L81" s="136">
        <f>표3[[#This Row],[발생연차]]+표3[[#This Row],[추가]]-표3[[#This Row],[공제]]</f>
        <v>0</v>
      </c>
      <c r="M81" s="121"/>
      <c r="N81" s="122"/>
      <c r="O81" s="144">
        <f>표3[[#This Row],[총연차]]-표3[[#This Row],[사용분]]-표3[[#This Row],[연차수당분]]</f>
        <v>0</v>
      </c>
      <c r="P81" s="120"/>
      <c r="Q81" s="125"/>
      <c r="R81" s="125"/>
      <c r="S81" s="125"/>
      <c r="T81" s="125"/>
      <c r="U81" s="125"/>
      <c r="V81" s="125"/>
      <c r="W81" s="183"/>
      <c r="X81" s="125"/>
      <c r="Y81" s="125"/>
      <c r="Z81" s="125"/>
      <c r="AA81" s="139"/>
      <c r="AB81" s="123">
        <f>SUM(표3[[#This Row],[1월]:[12월]])</f>
        <v>0</v>
      </c>
      <c r="AC81" s="140"/>
    </row>
    <row r="82" spans="7:29" ht="21" customHeight="1" x14ac:dyDescent="0.3">
      <c r="G82" s="141"/>
      <c r="H82" s="120"/>
      <c r="I82" s="124"/>
      <c r="J82" s="125"/>
      <c r="K82" s="125"/>
      <c r="L82" s="136">
        <f>표3[[#This Row],[발생연차]]+표3[[#This Row],[추가]]-표3[[#This Row],[공제]]</f>
        <v>0</v>
      </c>
      <c r="M82" s="121"/>
      <c r="N82" s="122"/>
      <c r="O82" s="144">
        <f>표3[[#This Row],[총연차]]-표3[[#This Row],[사용분]]-표3[[#This Row],[연차수당분]]</f>
        <v>0</v>
      </c>
      <c r="P82" s="120"/>
      <c r="Q82" s="125"/>
      <c r="R82" s="125"/>
      <c r="S82" s="125"/>
      <c r="T82" s="125"/>
      <c r="U82" s="125"/>
      <c r="V82" s="125"/>
      <c r="W82" s="183"/>
      <c r="X82" s="125"/>
      <c r="Y82" s="125"/>
      <c r="Z82" s="125"/>
      <c r="AA82" s="139"/>
      <c r="AB82" s="123">
        <f>SUM(표3[[#This Row],[1월]:[12월]])</f>
        <v>0</v>
      </c>
      <c r="AC82" s="140"/>
    </row>
    <row r="83" spans="7:29" ht="21" customHeight="1" x14ac:dyDescent="0.3">
      <c r="G83" s="141"/>
      <c r="H83" s="120"/>
      <c r="I83" s="124"/>
      <c r="J83" s="125"/>
      <c r="K83" s="125"/>
      <c r="L83" s="136">
        <f>표3[[#This Row],[발생연차]]+표3[[#This Row],[추가]]-표3[[#This Row],[공제]]</f>
        <v>0</v>
      </c>
      <c r="M83" s="121"/>
      <c r="N83" s="122"/>
      <c r="O83" s="144">
        <f>표3[[#This Row],[총연차]]-표3[[#This Row],[사용분]]-표3[[#This Row],[연차수당분]]</f>
        <v>0</v>
      </c>
      <c r="P83" s="120"/>
      <c r="Q83" s="125"/>
      <c r="R83" s="125"/>
      <c r="S83" s="125"/>
      <c r="T83" s="125"/>
      <c r="U83" s="125"/>
      <c r="V83" s="125"/>
      <c r="W83" s="183"/>
      <c r="X83" s="125"/>
      <c r="Y83" s="125"/>
      <c r="Z83" s="125"/>
      <c r="AA83" s="139"/>
      <c r="AB83" s="123">
        <f>SUM(표3[[#This Row],[1월]:[12월]])</f>
        <v>0</v>
      </c>
      <c r="AC83" s="140"/>
    </row>
    <row r="84" spans="7:29" ht="21" customHeight="1" x14ac:dyDescent="0.3">
      <c r="G84" s="141"/>
      <c r="H84" s="120"/>
      <c r="I84" s="124"/>
      <c r="J84" s="125"/>
      <c r="K84" s="125"/>
      <c r="L84" s="136">
        <f>표3[[#This Row],[발생연차]]+표3[[#This Row],[추가]]-표3[[#This Row],[공제]]</f>
        <v>0</v>
      </c>
      <c r="M84" s="121"/>
      <c r="N84" s="122"/>
      <c r="O84" s="144">
        <f>표3[[#This Row],[총연차]]-표3[[#This Row],[사용분]]-표3[[#This Row],[연차수당분]]</f>
        <v>0</v>
      </c>
      <c r="P84" s="120"/>
      <c r="Q84" s="125"/>
      <c r="R84" s="125"/>
      <c r="S84" s="125"/>
      <c r="T84" s="125"/>
      <c r="U84" s="125"/>
      <c r="V84" s="125"/>
      <c r="W84" s="183"/>
      <c r="X84" s="125"/>
      <c r="Y84" s="125"/>
      <c r="Z84" s="125"/>
      <c r="AA84" s="139"/>
      <c r="AB84" s="123">
        <f>SUM(표3[[#This Row],[1월]:[12월]])</f>
        <v>0</v>
      </c>
      <c r="AC84" s="140"/>
    </row>
    <row r="85" spans="7:29" ht="21" customHeight="1" x14ac:dyDescent="0.3">
      <c r="G85" s="141"/>
      <c r="H85" s="120"/>
      <c r="I85" s="124"/>
      <c r="J85" s="125"/>
      <c r="K85" s="125"/>
      <c r="L85" s="136">
        <f>표3[[#This Row],[발생연차]]+표3[[#This Row],[추가]]-표3[[#This Row],[공제]]</f>
        <v>0</v>
      </c>
      <c r="M85" s="121"/>
      <c r="N85" s="122"/>
      <c r="O85" s="144">
        <f>표3[[#This Row],[총연차]]-표3[[#This Row],[사용분]]-표3[[#This Row],[연차수당분]]</f>
        <v>0</v>
      </c>
      <c r="P85" s="120"/>
      <c r="Q85" s="125"/>
      <c r="R85" s="125"/>
      <c r="S85" s="125"/>
      <c r="T85" s="125"/>
      <c r="U85" s="125"/>
      <c r="V85" s="125"/>
      <c r="W85" s="183"/>
      <c r="X85" s="125"/>
      <c r="Y85" s="125"/>
      <c r="Z85" s="125"/>
      <c r="AA85" s="139"/>
      <c r="AB85" s="123">
        <f>SUM(표3[[#This Row],[1월]:[12월]])</f>
        <v>0</v>
      </c>
      <c r="AC85" s="140"/>
    </row>
    <row r="86" spans="7:29" ht="21" customHeight="1" x14ac:dyDescent="0.3">
      <c r="G86" s="141"/>
      <c r="H86" s="120"/>
      <c r="I86" s="124"/>
      <c r="J86" s="125"/>
      <c r="K86" s="125"/>
      <c r="L86" s="136">
        <f>표3[[#This Row],[발생연차]]+표3[[#This Row],[추가]]-표3[[#This Row],[공제]]</f>
        <v>0</v>
      </c>
      <c r="M86" s="121"/>
      <c r="N86" s="122"/>
      <c r="O86" s="144">
        <f>표3[[#This Row],[총연차]]-표3[[#This Row],[사용분]]-표3[[#This Row],[연차수당분]]</f>
        <v>0</v>
      </c>
      <c r="P86" s="120"/>
      <c r="Q86" s="125"/>
      <c r="R86" s="125"/>
      <c r="S86" s="125"/>
      <c r="T86" s="125"/>
      <c r="U86" s="125"/>
      <c r="V86" s="125"/>
      <c r="W86" s="183"/>
      <c r="X86" s="125"/>
      <c r="Y86" s="125"/>
      <c r="Z86" s="125"/>
      <c r="AA86" s="139"/>
      <c r="AB86" s="123">
        <f>SUM(표3[[#This Row],[1월]:[12월]])</f>
        <v>0</v>
      </c>
      <c r="AC86" s="140"/>
    </row>
    <row r="87" spans="7:29" ht="21" customHeight="1" x14ac:dyDescent="0.3">
      <c r="G87" s="141"/>
      <c r="H87" s="120"/>
      <c r="I87" s="124"/>
      <c r="J87" s="125"/>
      <c r="K87" s="125"/>
      <c r="L87" s="136">
        <f>표3[[#This Row],[발생연차]]+표3[[#This Row],[추가]]-표3[[#This Row],[공제]]</f>
        <v>0</v>
      </c>
      <c r="M87" s="121"/>
      <c r="N87" s="122"/>
      <c r="O87" s="144">
        <f>표3[[#This Row],[총연차]]-표3[[#This Row],[사용분]]-표3[[#This Row],[연차수당분]]</f>
        <v>0</v>
      </c>
      <c r="P87" s="120"/>
      <c r="Q87" s="125"/>
      <c r="R87" s="125"/>
      <c r="S87" s="125"/>
      <c r="T87" s="125"/>
      <c r="U87" s="125"/>
      <c r="V87" s="125"/>
      <c r="W87" s="183"/>
      <c r="X87" s="125"/>
      <c r="Y87" s="125"/>
      <c r="Z87" s="125"/>
      <c r="AA87" s="139"/>
      <c r="AB87" s="123">
        <f>SUM(표3[[#This Row],[1월]:[12월]])</f>
        <v>0</v>
      </c>
      <c r="AC87" s="140"/>
    </row>
    <row r="88" spans="7:29" ht="21" customHeight="1" x14ac:dyDescent="0.3">
      <c r="G88" s="141"/>
      <c r="H88" s="120"/>
      <c r="I88" s="124"/>
      <c r="J88" s="125"/>
      <c r="K88" s="125"/>
      <c r="L88" s="136">
        <f>표3[[#This Row],[발생연차]]+표3[[#This Row],[추가]]-표3[[#This Row],[공제]]</f>
        <v>0</v>
      </c>
      <c r="M88" s="121"/>
      <c r="N88" s="122"/>
      <c r="O88" s="144">
        <f>표3[[#This Row],[총연차]]-표3[[#This Row],[사용분]]-표3[[#This Row],[연차수당분]]</f>
        <v>0</v>
      </c>
      <c r="P88" s="120"/>
      <c r="Q88" s="125"/>
      <c r="R88" s="125"/>
      <c r="S88" s="125"/>
      <c r="T88" s="125"/>
      <c r="U88" s="125"/>
      <c r="V88" s="125"/>
      <c r="W88" s="183"/>
      <c r="X88" s="125"/>
      <c r="Y88" s="125"/>
      <c r="Z88" s="125"/>
      <c r="AA88" s="139"/>
      <c r="AB88" s="123">
        <f>SUM(표3[[#This Row],[1월]:[12월]])</f>
        <v>0</v>
      </c>
      <c r="AC88" s="140"/>
    </row>
    <row r="89" spans="7:29" ht="21" customHeight="1" x14ac:dyDescent="0.3">
      <c r="G89" s="141"/>
      <c r="H89" s="120"/>
      <c r="I89" s="124"/>
      <c r="J89" s="125"/>
      <c r="K89" s="125"/>
      <c r="L89" s="136">
        <f>표3[[#This Row],[발생연차]]+표3[[#This Row],[추가]]-표3[[#This Row],[공제]]</f>
        <v>0</v>
      </c>
      <c r="M89" s="121"/>
      <c r="N89" s="122"/>
      <c r="O89" s="144">
        <f>표3[[#This Row],[총연차]]-표3[[#This Row],[사용분]]-표3[[#This Row],[연차수당분]]</f>
        <v>0</v>
      </c>
      <c r="P89" s="120"/>
      <c r="Q89" s="125"/>
      <c r="R89" s="125"/>
      <c r="S89" s="125"/>
      <c r="T89" s="125"/>
      <c r="U89" s="125"/>
      <c r="V89" s="125"/>
      <c r="W89" s="183"/>
      <c r="X89" s="125"/>
      <c r="Y89" s="125"/>
      <c r="Z89" s="125"/>
      <c r="AA89" s="139"/>
      <c r="AB89" s="123">
        <f>SUM(표3[[#This Row],[1월]:[12월]])</f>
        <v>0</v>
      </c>
      <c r="AC89" s="140"/>
    </row>
    <row r="90" spans="7:29" ht="21" customHeight="1" x14ac:dyDescent="0.3">
      <c r="G90" s="141"/>
      <c r="H90" s="120"/>
      <c r="I90" s="124"/>
      <c r="J90" s="125"/>
      <c r="K90" s="125"/>
      <c r="L90" s="136">
        <f>표3[[#This Row],[발생연차]]+표3[[#This Row],[추가]]-표3[[#This Row],[공제]]</f>
        <v>0</v>
      </c>
      <c r="M90" s="121"/>
      <c r="N90" s="122"/>
      <c r="O90" s="144">
        <f>표3[[#This Row],[총연차]]-표3[[#This Row],[사용분]]-표3[[#This Row],[연차수당분]]</f>
        <v>0</v>
      </c>
      <c r="P90" s="120"/>
      <c r="Q90" s="125"/>
      <c r="R90" s="125"/>
      <c r="S90" s="125"/>
      <c r="T90" s="125"/>
      <c r="U90" s="125"/>
      <c r="V90" s="125"/>
      <c r="W90" s="183"/>
      <c r="X90" s="125"/>
      <c r="Y90" s="125"/>
      <c r="Z90" s="125"/>
      <c r="AA90" s="139"/>
      <c r="AB90" s="123">
        <f>SUM(표3[[#This Row],[1월]:[12월]])</f>
        <v>0</v>
      </c>
      <c r="AC90" s="140"/>
    </row>
    <row r="91" spans="7:29" ht="21" customHeight="1" x14ac:dyDescent="0.3">
      <c r="G91" s="141"/>
      <c r="H91" s="120"/>
      <c r="I91" s="124"/>
      <c r="J91" s="125"/>
      <c r="K91" s="125"/>
      <c r="L91" s="136">
        <f>표3[[#This Row],[발생연차]]+표3[[#This Row],[추가]]-표3[[#This Row],[공제]]</f>
        <v>0</v>
      </c>
      <c r="M91" s="121"/>
      <c r="N91" s="122"/>
      <c r="O91" s="144">
        <f>표3[[#This Row],[총연차]]-표3[[#This Row],[사용분]]-표3[[#This Row],[연차수당분]]</f>
        <v>0</v>
      </c>
      <c r="P91" s="120"/>
      <c r="Q91" s="125"/>
      <c r="R91" s="125"/>
      <c r="S91" s="125"/>
      <c r="T91" s="125"/>
      <c r="U91" s="125"/>
      <c r="V91" s="125"/>
      <c r="W91" s="183"/>
      <c r="X91" s="125"/>
      <c r="Y91" s="125"/>
      <c r="Z91" s="125"/>
      <c r="AA91" s="139"/>
      <c r="AB91" s="123">
        <f>SUM(표3[[#This Row],[1월]:[12월]])</f>
        <v>0</v>
      </c>
      <c r="AC91" s="140"/>
    </row>
    <row r="92" spans="7:29" ht="21" customHeight="1" x14ac:dyDescent="0.3">
      <c r="G92" s="141"/>
      <c r="H92" s="120"/>
      <c r="I92" s="124"/>
      <c r="J92" s="125"/>
      <c r="K92" s="125"/>
      <c r="L92" s="136">
        <f>표3[[#This Row],[발생연차]]+표3[[#This Row],[추가]]-표3[[#This Row],[공제]]</f>
        <v>0</v>
      </c>
      <c r="M92" s="121"/>
      <c r="N92" s="122"/>
      <c r="O92" s="144">
        <f>표3[[#This Row],[총연차]]-표3[[#This Row],[사용분]]-표3[[#This Row],[연차수당분]]</f>
        <v>0</v>
      </c>
      <c r="P92" s="120"/>
      <c r="Q92" s="125"/>
      <c r="R92" s="125"/>
      <c r="S92" s="125"/>
      <c r="T92" s="125"/>
      <c r="U92" s="125"/>
      <c r="V92" s="125"/>
      <c r="W92" s="183"/>
      <c r="X92" s="125"/>
      <c r="Y92" s="125"/>
      <c r="Z92" s="125"/>
      <c r="AA92" s="139"/>
      <c r="AB92" s="123">
        <f>SUM(표3[[#This Row],[1월]:[12월]])</f>
        <v>0</v>
      </c>
      <c r="AC92" s="140"/>
    </row>
    <row r="93" spans="7:29" ht="21" customHeight="1" x14ac:dyDescent="0.3">
      <c r="G93" s="141"/>
      <c r="H93" s="120"/>
      <c r="I93" s="124"/>
      <c r="J93" s="125"/>
      <c r="K93" s="125"/>
      <c r="L93" s="136">
        <f>표3[[#This Row],[발생연차]]+표3[[#This Row],[추가]]-표3[[#This Row],[공제]]</f>
        <v>0</v>
      </c>
      <c r="M93" s="121"/>
      <c r="N93" s="122"/>
      <c r="O93" s="144">
        <f>표3[[#This Row],[총연차]]-표3[[#This Row],[사용분]]-표3[[#This Row],[연차수당분]]</f>
        <v>0</v>
      </c>
      <c r="P93" s="120"/>
      <c r="Q93" s="125"/>
      <c r="R93" s="125"/>
      <c r="S93" s="125"/>
      <c r="T93" s="125"/>
      <c r="U93" s="125"/>
      <c r="V93" s="125"/>
      <c r="W93" s="183"/>
      <c r="X93" s="125"/>
      <c r="Y93" s="125"/>
      <c r="Z93" s="125"/>
      <c r="AA93" s="139"/>
      <c r="AB93" s="123">
        <f>SUM(표3[[#This Row],[1월]:[12월]])</f>
        <v>0</v>
      </c>
      <c r="AC93" s="140"/>
    </row>
    <row r="94" spans="7:29" ht="21" customHeight="1" x14ac:dyDescent="0.3">
      <c r="G94" s="141"/>
      <c r="H94" s="120"/>
      <c r="I94" s="124"/>
      <c r="J94" s="125"/>
      <c r="K94" s="125"/>
      <c r="L94" s="136">
        <f>표3[[#This Row],[발생연차]]+표3[[#This Row],[추가]]-표3[[#This Row],[공제]]</f>
        <v>0</v>
      </c>
      <c r="M94" s="121"/>
      <c r="N94" s="122"/>
      <c r="O94" s="144">
        <f>표3[[#This Row],[총연차]]-표3[[#This Row],[사용분]]-표3[[#This Row],[연차수당분]]</f>
        <v>0</v>
      </c>
      <c r="P94" s="120"/>
      <c r="Q94" s="125"/>
      <c r="R94" s="125"/>
      <c r="S94" s="125"/>
      <c r="T94" s="125"/>
      <c r="U94" s="125"/>
      <c r="V94" s="125"/>
      <c r="W94" s="183"/>
      <c r="X94" s="125"/>
      <c r="Y94" s="125"/>
      <c r="Z94" s="125"/>
      <c r="AA94" s="139"/>
      <c r="AB94" s="123">
        <f>SUM(표3[[#This Row],[1월]:[12월]])</f>
        <v>0</v>
      </c>
      <c r="AC94" s="140"/>
    </row>
    <row r="95" spans="7:29" ht="21" customHeight="1" x14ac:dyDescent="0.3">
      <c r="G95" s="141"/>
      <c r="H95" s="120"/>
      <c r="I95" s="124"/>
      <c r="J95" s="125"/>
      <c r="K95" s="125"/>
      <c r="L95" s="136">
        <f>표3[[#This Row],[발생연차]]+표3[[#This Row],[추가]]-표3[[#This Row],[공제]]</f>
        <v>0</v>
      </c>
      <c r="M95" s="121"/>
      <c r="N95" s="122"/>
      <c r="O95" s="144">
        <f>표3[[#This Row],[총연차]]-표3[[#This Row],[사용분]]-표3[[#This Row],[연차수당분]]</f>
        <v>0</v>
      </c>
      <c r="P95" s="120"/>
      <c r="Q95" s="125"/>
      <c r="R95" s="125"/>
      <c r="S95" s="125"/>
      <c r="T95" s="125"/>
      <c r="U95" s="125"/>
      <c r="V95" s="125"/>
      <c r="W95" s="183"/>
      <c r="X95" s="125"/>
      <c r="Y95" s="125"/>
      <c r="Z95" s="125"/>
      <c r="AA95" s="139"/>
      <c r="AB95" s="123">
        <f>SUM(표3[[#This Row],[1월]:[12월]])</f>
        <v>0</v>
      </c>
      <c r="AC95" s="140"/>
    </row>
    <row r="96" spans="7:29" ht="21" customHeight="1" x14ac:dyDescent="0.3">
      <c r="G96" s="141"/>
      <c r="H96" s="120"/>
      <c r="I96" s="124"/>
      <c r="J96" s="125"/>
      <c r="K96" s="125"/>
      <c r="L96" s="136">
        <f>표3[[#This Row],[발생연차]]+표3[[#This Row],[추가]]-표3[[#This Row],[공제]]</f>
        <v>0</v>
      </c>
      <c r="M96" s="121"/>
      <c r="N96" s="122"/>
      <c r="O96" s="144">
        <f>표3[[#This Row],[총연차]]-표3[[#This Row],[사용분]]-표3[[#This Row],[연차수당분]]</f>
        <v>0</v>
      </c>
      <c r="P96" s="120"/>
      <c r="Q96" s="125"/>
      <c r="R96" s="125"/>
      <c r="S96" s="125"/>
      <c r="T96" s="125"/>
      <c r="U96" s="125"/>
      <c r="V96" s="125"/>
      <c r="W96" s="183"/>
      <c r="X96" s="125"/>
      <c r="Y96" s="125"/>
      <c r="Z96" s="125"/>
      <c r="AA96" s="139"/>
      <c r="AB96" s="123">
        <f>SUM(표3[[#This Row],[1월]:[12월]])</f>
        <v>0</v>
      </c>
      <c r="AC96" s="140"/>
    </row>
    <row r="97" spans="7:29" ht="21" customHeight="1" x14ac:dyDescent="0.3">
      <c r="G97" s="141"/>
      <c r="H97" s="120"/>
      <c r="I97" s="124"/>
      <c r="J97" s="125"/>
      <c r="K97" s="125"/>
      <c r="L97" s="136">
        <f>표3[[#This Row],[발생연차]]+표3[[#This Row],[추가]]-표3[[#This Row],[공제]]</f>
        <v>0</v>
      </c>
      <c r="M97" s="121"/>
      <c r="N97" s="122"/>
      <c r="O97" s="144">
        <f>표3[[#This Row],[총연차]]-표3[[#This Row],[사용분]]-표3[[#This Row],[연차수당분]]</f>
        <v>0</v>
      </c>
      <c r="P97" s="120"/>
      <c r="Q97" s="125"/>
      <c r="R97" s="125"/>
      <c r="S97" s="125"/>
      <c r="T97" s="125"/>
      <c r="U97" s="125"/>
      <c r="V97" s="125"/>
      <c r="W97" s="183"/>
      <c r="X97" s="125"/>
      <c r="Y97" s="125"/>
      <c r="Z97" s="125"/>
      <c r="AA97" s="139"/>
      <c r="AB97" s="123">
        <f>SUM(표3[[#This Row],[1월]:[12월]])</f>
        <v>0</v>
      </c>
      <c r="AC97" s="140"/>
    </row>
    <row r="98" spans="7:29" ht="21" customHeight="1" x14ac:dyDescent="0.3">
      <c r="G98" s="141"/>
      <c r="H98" s="120"/>
      <c r="I98" s="124"/>
      <c r="J98" s="125"/>
      <c r="K98" s="125"/>
      <c r="L98" s="136">
        <f>표3[[#This Row],[발생연차]]+표3[[#This Row],[추가]]-표3[[#This Row],[공제]]</f>
        <v>0</v>
      </c>
      <c r="M98" s="121"/>
      <c r="N98" s="122"/>
      <c r="O98" s="144">
        <f>표3[[#This Row],[총연차]]-표3[[#This Row],[사용분]]-표3[[#This Row],[연차수당분]]</f>
        <v>0</v>
      </c>
      <c r="P98" s="120"/>
      <c r="Q98" s="125"/>
      <c r="R98" s="125"/>
      <c r="S98" s="125"/>
      <c r="T98" s="125"/>
      <c r="U98" s="125"/>
      <c r="V98" s="125"/>
      <c r="W98" s="183"/>
      <c r="X98" s="125"/>
      <c r="Y98" s="125"/>
      <c r="Z98" s="125"/>
      <c r="AA98" s="139"/>
      <c r="AB98" s="123">
        <f>SUM(표3[[#This Row],[1월]:[12월]])</f>
        <v>0</v>
      </c>
      <c r="AC98" s="140"/>
    </row>
    <row r="99" spans="7:29" ht="21" customHeight="1" x14ac:dyDescent="0.3">
      <c r="G99" s="141"/>
      <c r="H99" s="120"/>
      <c r="I99" s="124"/>
      <c r="J99" s="125"/>
      <c r="K99" s="125"/>
      <c r="L99" s="136">
        <f>표3[[#This Row],[발생연차]]+표3[[#This Row],[추가]]-표3[[#This Row],[공제]]</f>
        <v>0</v>
      </c>
      <c r="M99" s="121"/>
      <c r="N99" s="122"/>
      <c r="O99" s="144">
        <f>표3[[#This Row],[총연차]]-표3[[#This Row],[사용분]]-표3[[#This Row],[연차수당분]]</f>
        <v>0</v>
      </c>
      <c r="P99" s="120"/>
      <c r="Q99" s="125"/>
      <c r="R99" s="125"/>
      <c r="S99" s="125"/>
      <c r="T99" s="125"/>
      <c r="U99" s="125"/>
      <c r="V99" s="125"/>
      <c r="W99" s="183"/>
      <c r="X99" s="125"/>
      <c r="Y99" s="125"/>
      <c r="Z99" s="125"/>
      <c r="AA99" s="139"/>
      <c r="AB99" s="123">
        <f>SUM(표3[[#This Row],[1월]:[12월]])</f>
        <v>0</v>
      </c>
      <c r="AC99" s="140"/>
    </row>
    <row r="100" spans="7:29" ht="21" customHeight="1" x14ac:dyDescent="0.3">
      <c r="G100" s="141"/>
      <c r="H100" s="120"/>
      <c r="I100" s="124"/>
      <c r="J100" s="125"/>
      <c r="K100" s="125"/>
      <c r="L100" s="136">
        <f>표3[[#This Row],[발생연차]]+표3[[#This Row],[추가]]-표3[[#This Row],[공제]]</f>
        <v>0</v>
      </c>
      <c r="M100" s="121"/>
      <c r="N100" s="122"/>
      <c r="O100" s="144">
        <f>표3[[#This Row],[총연차]]-표3[[#This Row],[사용분]]-표3[[#This Row],[연차수당분]]</f>
        <v>0</v>
      </c>
      <c r="P100" s="120"/>
      <c r="Q100" s="125"/>
      <c r="R100" s="125"/>
      <c r="S100" s="125"/>
      <c r="T100" s="125"/>
      <c r="U100" s="125"/>
      <c r="V100" s="125"/>
      <c r="W100" s="183"/>
      <c r="X100" s="125"/>
      <c r="Y100" s="125"/>
      <c r="Z100" s="125"/>
      <c r="AA100" s="139"/>
      <c r="AB100" s="123">
        <f>SUM(표3[[#This Row],[1월]:[12월]])</f>
        <v>0</v>
      </c>
      <c r="AC100" s="140"/>
    </row>
    <row r="101" spans="7:29" ht="21" customHeight="1" x14ac:dyDescent="0.3">
      <c r="G101" s="141"/>
      <c r="H101" s="120"/>
      <c r="I101" s="124"/>
      <c r="J101" s="125"/>
      <c r="K101" s="125"/>
      <c r="L101" s="136">
        <f>표3[[#This Row],[발생연차]]+표3[[#This Row],[추가]]-표3[[#This Row],[공제]]</f>
        <v>0</v>
      </c>
      <c r="M101" s="121"/>
      <c r="N101" s="122"/>
      <c r="O101" s="144">
        <f>표3[[#This Row],[총연차]]-표3[[#This Row],[사용분]]-표3[[#This Row],[연차수당분]]</f>
        <v>0</v>
      </c>
      <c r="P101" s="120"/>
      <c r="Q101" s="125"/>
      <c r="R101" s="125"/>
      <c r="S101" s="125"/>
      <c r="T101" s="125"/>
      <c r="U101" s="125"/>
      <c r="V101" s="125"/>
      <c r="W101" s="183"/>
      <c r="X101" s="125"/>
      <c r="Y101" s="125"/>
      <c r="Z101" s="125"/>
      <c r="AA101" s="139"/>
      <c r="AB101" s="123">
        <f>SUM(표3[[#This Row],[1월]:[12월]])</f>
        <v>0</v>
      </c>
      <c r="AC101" s="140"/>
    </row>
    <row r="102" spans="7:29" ht="21" customHeight="1" x14ac:dyDescent="0.3">
      <c r="G102" s="141"/>
      <c r="H102" s="120"/>
      <c r="I102" s="124"/>
      <c r="J102" s="125"/>
      <c r="K102" s="125"/>
      <c r="L102" s="136">
        <f>표3[[#This Row],[발생연차]]+표3[[#This Row],[추가]]-표3[[#This Row],[공제]]</f>
        <v>0</v>
      </c>
      <c r="M102" s="121"/>
      <c r="N102" s="122"/>
      <c r="O102" s="144">
        <f>표3[[#This Row],[총연차]]-표3[[#This Row],[사용분]]-표3[[#This Row],[연차수당분]]</f>
        <v>0</v>
      </c>
      <c r="P102" s="120"/>
      <c r="Q102" s="125"/>
      <c r="R102" s="125"/>
      <c r="S102" s="125"/>
      <c r="T102" s="125"/>
      <c r="U102" s="125"/>
      <c r="V102" s="125"/>
      <c r="W102" s="183"/>
      <c r="X102" s="125"/>
      <c r="Y102" s="125"/>
      <c r="Z102" s="125"/>
      <c r="AA102" s="139"/>
      <c r="AB102" s="123">
        <f>SUM(표3[[#This Row],[1월]:[12월]])</f>
        <v>0</v>
      </c>
      <c r="AC102" s="140"/>
    </row>
    <row r="103" spans="7:29" ht="21" customHeight="1" x14ac:dyDescent="0.3">
      <c r="G103" s="141"/>
      <c r="H103" s="120"/>
      <c r="I103" s="124"/>
      <c r="J103" s="125"/>
      <c r="K103" s="125"/>
      <c r="L103" s="136">
        <f>표3[[#This Row],[발생연차]]+표3[[#This Row],[추가]]-표3[[#This Row],[공제]]</f>
        <v>0</v>
      </c>
      <c r="M103" s="121"/>
      <c r="N103" s="122"/>
      <c r="O103" s="144">
        <f>표3[[#This Row],[총연차]]-표3[[#This Row],[사용분]]-표3[[#This Row],[연차수당분]]</f>
        <v>0</v>
      </c>
      <c r="P103" s="120"/>
      <c r="Q103" s="125"/>
      <c r="R103" s="125"/>
      <c r="S103" s="125"/>
      <c r="T103" s="125"/>
      <c r="U103" s="125"/>
      <c r="V103" s="125"/>
      <c r="W103" s="183"/>
      <c r="X103" s="125"/>
      <c r="Y103" s="125"/>
      <c r="Z103" s="125"/>
      <c r="AA103" s="139"/>
      <c r="AB103" s="123">
        <f>SUM(표3[[#This Row],[1월]:[12월]])</f>
        <v>0</v>
      </c>
      <c r="AC103" s="140"/>
    </row>
    <row r="104" spans="7:29" ht="21" customHeight="1" x14ac:dyDescent="0.3">
      <c r="G104" s="141"/>
      <c r="H104" s="120"/>
      <c r="I104" s="124"/>
      <c r="J104" s="125"/>
      <c r="K104" s="125"/>
      <c r="L104" s="136">
        <f>표3[[#This Row],[발생연차]]+표3[[#This Row],[추가]]-표3[[#This Row],[공제]]</f>
        <v>0</v>
      </c>
      <c r="M104" s="121"/>
      <c r="N104" s="122"/>
      <c r="O104" s="144">
        <f>표3[[#This Row],[총연차]]-표3[[#This Row],[사용분]]-표3[[#This Row],[연차수당분]]</f>
        <v>0</v>
      </c>
      <c r="P104" s="120"/>
      <c r="Q104" s="125"/>
      <c r="R104" s="125"/>
      <c r="S104" s="125"/>
      <c r="T104" s="125"/>
      <c r="U104" s="125"/>
      <c r="V104" s="125"/>
      <c r="W104" s="183"/>
      <c r="X104" s="125"/>
      <c r="Y104" s="125"/>
      <c r="Z104" s="125"/>
      <c r="AA104" s="139"/>
      <c r="AB104" s="123">
        <f>SUM(표3[[#This Row],[1월]:[12월]])</f>
        <v>0</v>
      </c>
      <c r="AC104" s="140"/>
    </row>
    <row r="105" spans="7:29" ht="21" customHeight="1" x14ac:dyDescent="0.3">
      <c r="G105" s="141"/>
      <c r="H105" s="120"/>
      <c r="I105" s="124"/>
      <c r="J105" s="125"/>
      <c r="K105" s="125"/>
      <c r="L105" s="136">
        <f>표3[[#This Row],[발생연차]]+표3[[#This Row],[추가]]-표3[[#This Row],[공제]]</f>
        <v>0</v>
      </c>
      <c r="M105" s="121"/>
      <c r="N105" s="122"/>
      <c r="O105" s="144">
        <f>표3[[#This Row],[총연차]]-표3[[#This Row],[사용분]]-표3[[#This Row],[연차수당분]]</f>
        <v>0</v>
      </c>
      <c r="P105" s="120"/>
      <c r="Q105" s="125"/>
      <c r="R105" s="125"/>
      <c r="S105" s="125"/>
      <c r="T105" s="125"/>
      <c r="U105" s="125"/>
      <c r="V105" s="125"/>
      <c r="W105" s="183"/>
      <c r="X105" s="125"/>
      <c r="Y105" s="125"/>
      <c r="Z105" s="125"/>
      <c r="AA105" s="139"/>
      <c r="AB105" s="123">
        <f>SUM(표3[[#This Row],[1월]:[12월]])</f>
        <v>0</v>
      </c>
      <c r="AC105" s="140"/>
    </row>
    <row r="106" spans="7:29" ht="21" customHeight="1" x14ac:dyDescent="0.3">
      <c r="G106" s="141"/>
      <c r="H106" s="120"/>
      <c r="I106" s="124"/>
      <c r="J106" s="125"/>
      <c r="K106" s="125"/>
      <c r="L106" s="136">
        <f>표3[[#This Row],[발생연차]]+표3[[#This Row],[추가]]-표3[[#This Row],[공제]]</f>
        <v>0</v>
      </c>
      <c r="M106" s="121"/>
      <c r="N106" s="122"/>
      <c r="O106" s="144">
        <f>표3[[#This Row],[총연차]]-표3[[#This Row],[사용분]]-표3[[#This Row],[연차수당분]]</f>
        <v>0</v>
      </c>
      <c r="P106" s="120"/>
      <c r="Q106" s="125"/>
      <c r="R106" s="125"/>
      <c r="S106" s="125"/>
      <c r="T106" s="125"/>
      <c r="U106" s="125"/>
      <c r="V106" s="125"/>
      <c r="W106" s="183"/>
      <c r="X106" s="125"/>
      <c r="Y106" s="125"/>
      <c r="Z106" s="125"/>
      <c r="AA106" s="139"/>
      <c r="AB106" s="123">
        <f>SUM(표3[[#This Row],[1월]:[12월]])</f>
        <v>0</v>
      </c>
      <c r="AC106" s="140"/>
    </row>
    <row r="107" spans="7:29" ht="21" customHeight="1" x14ac:dyDescent="0.3">
      <c r="G107" s="141"/>
      <c r="H107" s="120"/>
      <c r="I107" s="124"/>
      <c r="J107" s="125"/>
      <c r="K107" s="125"/>
      <c r="L107" s="136">
        <f>표3[[#This Row],[발생연차]]+표3[[#This Row],[추가]]-표3[[#This Row],[공제]]</f>
        <v>0</v>
      </c>
      <c r="M107" s="121"/>
      <c r="N107" s="122"/>
      <c r="O107" s="144">
        <f>표3[[#This Row],[총연차]]-표3[[#This Row],[사용분]]-표3[[#This Row],[연차수당분]]</f>
        <v>0</v>
      </c>
      <c r="P107" s="120"/>
      <c r="Q107" s="125"/>
      <c r="R107" s="125"/>
      <c r="S107" s="125"/>
      <c r="T107" s="125"/>
      <c r="U107" s="125"/>
      <c r="V107" s="125"/>
      <c r="W107" s="183"/>
      <c r="X107" s="125"/>
      <c r="Y107" s="125"/>
      <c r="Z107" s="125"/>
      <c r="AA107" s="139"/>
      <c r="AB107" s="123">
        <f>SUM(표3[[#This Row],[1월]:[12월]])</f>
        <v>0</v>
      </c>
      <c r="AC107" s="140"/>
    </row>
    <row r="108" spans="7:29" ht="21" customHeight="1" x14ac:dyDescent="0.3">
      <c r="G108" s="141"/>
      <c r="H108" s="120"/>
      <c r="I108" s="124"/>
      <c r="J108" s="125"/>
      <c r="K108" s="125"/>
      <c r="L108" s="136">
        <f>표3[[#This Row],[발생연차]]+표3[[#This Row],[추가]]-표3[[#This Row],[공제]]</f>
        <v>0</v>
      </c>
      <c r="M108" s="121"/>
      <c r="N108" s="122"/>
      <c r="O108" s="144">
        <f>표3[[#This Row],[총연차]]-표3[[#This Row],[사용분]]-표3[[#This Row],[연차수당분]]</f>
        <v>0</v>
      </c>
      <c r="P108" s="120"/>
      <c r="Q108" s="125"/>
      <c r="R108" s="125"/>
      <c r="S108" s="125"/>
      <c r="T108" s="125"/>
      <c r="U108" s="125"/>
      <c r="V108" s="125"/>
      <c r="W108" s="183"/>
      <c r="X108" s="125"/>
      <c r="Y108" s="125"/>
      <c r="Z108" s="125"/>
      <c r="AA108" s="139"/>
      <c r="AB108" s="123">
        <f>SUM(표3[[#This Row],[1월]:[12월]])</f>
        <v>0</v>
      </c>
      <c r="AC108" s="140"/>
    </row>
    <row r="109" spans="7:29" ht="21" customHeight="1" x14ac:dyDescent="0.3">
      <c r="G109" s="141"/>
      <c r="H109" s="120"/>
      <c r="I109" s="124"/>
      <c r="J109" s="125"/>
      <c r="K109" s="125"/>
      <c r="L109" s="136">
        <f>표3[[#This Row],[발생연차]]+표3[[#This Row],[추가]]-표3[[#This Row],[공제]]</f>
        <v>0</v>
      </c>
      <c r="M109" s="121"/>
      <c r="N109" s="122"/>
      <c r="O109" s="144">
        <f>표3[[#This Row],[총연차]]-표3[[#This Row],[사용분]]-표3[[#This Row],[연차수당분]]</f>
        <v>0</v>
      </c>
      <c r="P109" s="120"/>
      <c r="Q109" s="125"/>
      <c r="R109" s="125"/>
      <c r="S109" s="125"/>
      <c r="T109" s="125"/>
      <c r="U109" s="125"/>
      <c r="V109" s="125"/>
      <c r="W109" s="183"/>
      <c r="X109" s="125"/>
      <c r="Y109" s="125"/>
      <c r="Z109" s="125"/>
      <c r="AA109" s="139"/>
      <c r="AB109" s="123">
        <f>SUM(표3[[#This Row],[1월]:[12월]])</f>
        <v>0</v>
      </c>
      <c r="AC109" s="140"/>
    </row>
    <row r="110" spans="7:29" ht="21" customHeight="1" x14ac:dyDescent="0.3">
      <c r="G110" s="141"/>
      <c r="H110" s="120"/>
      <c r="I110" s="124"/>
      <c r="J110" s="125"/>
      <c r="K110" s="125"/>
      <c r="L110" s="136">
        <f>표3[[#This Row],[발생연차]]+표3[[#This Row],[추가]]-표3[[#This Row],[공제]]</f>
        <v>0</v>
      </c>
      <c r="M110" s="121"/>
      <c r="N110" s="122"/>
      <c r="O110" s="144">
        <f>표3[[#This Row],[총연차]]-표3[[#This Row],[사용분]]-표3[[#This Row],[연차수당분]]</f>
        <v>0</v>
      </c>
      <c r="P110" s="120"/>
      <c r="Q110" s="125"/>
      <c r="R110" s="125"/>
      <c r="S110" s="125"/>
      <c r="T110" s="125"/>
      <c r="U110" s="125"/>
      <c r="V110" s="125"/>
      <c r="W110" s="183"/>
      <c r="X110" s="125"/>
      <c r="Y110" s="125"/>
      <c r="Z110" s="125"/>
      <c r="AA110" s="139"/>
      <c r="AB110" s="123">
        <f>SUM(표3[[#This Row],[1월]:[12월]])</f>
        <v>0</v>
      </c>
      <c r="AC110" s="140"/>
    </row>
    <row r="111" spans="7:29" ht="21" customHeight="1" x14ac:dyDescent="0.3">
      <c r="G111" s="141"/>
      <c r="H111" s="120"/>
      <c r="I111" s="124"/>
      <c r="J111" s="125"/>
      <c r="K111" s="125"/>
      <c r="L111" s="136">
        <f>표3[[#This Row],[발생연차]]+표3[[#This Row],[추가]]-표3[[#This Row],[공제]]</f>
        <v>0</v>
      </c>
      <c r="M111" s="121"/>
      <c r="N111" s="122"/>
      <c r="O111" s="144">
        <f>표3[[#This Row],[총연차]]-표3[[#This Row],[사용분]]-표3[[#This Row],[연차수당분]]</f>
        <v>0</v>
      </c>
      <c r="P111" s="120"/>
      <c r="Q111" s="125"/>
      <c r="R111" s="125"/>
      <c r="S111" s="125"/>
      <c r="T111" s="125"/>
      <c r="U111" s="125"/>
      <c r="V111" s="125"/>
      <c r="W111" s="183"/>
      <c r="X111" s="125"/>
      <c r="Y111" s="125"/>
      <c r="Z111" s="125"/>
      <c r="AA111" s="139"/>
      <c r="AB111" s="123">
        <f>SUM(표3[[#This Row],[1월]:[12월]])</f>
        <v>0</v>
      </c>
      <c r="AC111" s="140"/>
    </row>
    <row r="112" spans="7:29" ht="21" customHeight="1" x14ac:dyDescent="0.3">
      <c r="G112" s="141"/>
      <c r="H112" s="120"/>
      <c r="I112" s="124"/>
      <c r="J112" s="125"/>
      <c r="K112" s="125"/>
      <c r="L112" s="136">
        <f>표3[[#This Row],[발생연차]]+표3[[#This Row],[추가]]-표3[[#This Row],[공제]]</f>
        <v>0</v>
      </c>
      <c r="M112" s="121"/>
      <c r="N112" s="122"/>
      <c r="O112" s="144">
        <f>표3[[#This Row],[총연차]]-표3[[#This Row],[사용분]]-표3[[#This Row],[연차수당분]]</f>
        <v>0</v>
      </c>
      <c r="P112" s="120"/>
      <c r="Q112" s="125"/>
      <c r="R112" s="125"/>
      <c r="S112" s="125"/>
      <c r="T112" s="125"/>
      <c r="U112" s="125"/>
      <c r="V112" s="125"/>
      <c r="W112" s="183"/>
      <c r="X112" s="125"/>
      <c r="Y112" s="125"/>
      <c r="Z112" s="125"/>
      <c r="AA112" s="139"/>
      <c r="AB112" s="123">
        <f>SUM(표3[[#This Row],[1월]:[12월]])</f>
        <v>0</v>
      </c>
      <c r="AC112" s="140"/>
    </row>
    <row r="113" spans="7:29" ht="21" customHeight="1" x14ac:dyDescent="0.3">
      <c r="G113" s="141"/>
      <c r="H113" s="120"/>
      <c r="I113" s="124"/>
      <c r="J113" s="125"/>
      <c r="K113" s="125"/>
      <c r="L113" s="136">
        <f>표3[[#This Row],[발생연차]]+표3[[#This Row],[추가]]-표3[[#This Row],[공제]]</f>
        <v>0</v>
      </c>
      <c r="M113" s="121"/>
      <c r="N113" s="122"/>
      <c r="O113" s="144">
        <f>표3[[#This Row],[총연차]]-표3[[#This Row],[사용분]]-표3[[#This Row],[연차수당분]]</f>
        <v>0</v>
      </c>
      <c r="P113" s="120"/>
      <c r="Q113" s="125"/>
      <c r="R113" s="125"/>
      <c r="S113" s="125"/>
      <c r="T113" s="125"/>
      <c r="U113" s="125"/>
      <c r="V113" s="125"/>
      <c r="W113" s="183"/>
      <c r="X113" s="125"/>
      <c r="Y113" s="125"/>
      <c r="Z113" s="125"/>
      <c r="AA113" s="139"/>
      <c r="AB113" s="123">
        <f>SUM(표3[[#This Row],[1월]:[12월]])</f>
        <v>0</v>
      </c>
      <c r="AC113" s="140"/>
    </row>
    <row r="114" spans="7:29" ht="21" customHeight="1" x14ac:dyDescent="0.3">
      <c r="G114" s="141"/>
      <c r="H114" s="120"/>
      <c r="I114" s="124"/>
      <c r="J114" s="125"/>
      <c r="K114" s="125"/>
      <c r="L114" s="136">
        <f>표3[[#This Row],[발생연차]]+표3[[#This Row],[추가]]-표3[[#This Row],[공제]]</f>
        <v>0</v>
      </c>
      <c r="M114" s="121"/>
      <c r="N114" s="122"/>
      <c r="O114" s="144">
        <f>표3[[#This Row],[총연차]]-표3[[#This Row],[사용분]]-표3[[#This Row],[연차수당분]]</f>
        <v>0</v>
      </c>
      <c r="P114" s="120"/>
      <c r="Q114" s="125"/>
      <c r="R114" s="125"/>
      <c r="S114" s="125"/>
      <c r="T114" s="125"/>
      <c r="U114" s="125"/>
      <c r="V114" s="125"/>
      <c r="W114" s="183"/>
      <c r="X114" s="125"/>
      <c r="Y114" s="125"/>
      <c r="Z114" s="125"/>
      <c r="AA114" s="139"/>
      <c r="AB114" s="123">
        <f>SUM(표3[[#This Row],[1월]:[12월]])</f>
        <v>0</v>
      </c>
      <c r="AC114" s="140"/>
    </row>
    <row r="115" spans="7:29" ht="21" customHeight="1" x14ac:dyDescent="0.3">
      <c r="G115" s="141"/>
      <c r="H115" s="120"/>
      <c r="I115" s="124"/>
      <c r="J115" s="125"/>
      <c r="K115" s="125"/>
      <c r="L115" s="136">
        <f>표3[[#This Row],[발생연차]]+표3[[#This Row],[추가]]-표3[[#This Row],[공제]]</f>
        <v>0</v>
      </c>
      <c r="M115" s="121"/>
      <c r="N115" s="122"/>
      <c r="O115" s="144">
        <f>표3[[#This Row],[총연차]]-표3[[#This Row],[사용분]]-표3[[#This Row],[연차수당분]]</f>
        <v>0</v>
      </c>
      <c r="P115" s="120"/>
      <c r="Q115" s="125"/>
      <c r="R115" s="125"/>
      <c r="S115" s="125"/>
      <c r="T115" s="125"/>
      <c r="U115" s="125"/>
      <c r="V115" s="125"/>
      <c r="W115" s="183"/>
      <c r="X115" s="125"/>
      <c r="Y115" s="125"/>
      <c r="Z115" s="125"/>
      <c r="AA115" s="139"/>
      <c r="AB115" s="123">
        <f>SUM(표3[[#This Row],[1월]:[12월]])</f>
        <v>0</v>
      </c>
      <c r="AC115" s="140"/>
    </row>
    <row r="116" spans="7:29" ht="21" customHeight="1" x14ac:dyDescent="0.3">
      <c r="G116" s="141"/>
      <c r="H116" s="120"/>
      <c r="I116" s="124"/>
      <c r="J116" s="125"/>
      <c r="K116" s="125"/>
      <c r="L116" s="136">
        <f>표3[[#This Row],[발생연차]]+표3[[#This Row],[추가]]-표3[[#This Row],[공제]]</f>
        <v>0</v>
      </c>
      <c r="M116" s="121"/>
      <c r="N116" s="122"/>
      <c r="O116" s="144">
        <f>표3[[#This Row],[총연차]]-표3[[#This Row],[사용분]]-표3[[#This Row],[연차수당분]]</f>
        <v>0</v>
      </c>
      <c r="P116" s="120"/>
      <c r="Q116" s="125"/>
      <c r="R116" s="125"/>
      <c r="S116" s="125"/>
      <c r="T116" s="125"/>
      <c r="U116" s="125"/>
      <c r="V116" s="125"/>
      <c r="W116" s="183"/>
      <c r="X116" s="125"/>
      <c r="Y116" s="125"/>
      <c r="Z116" s="125"/>
      <c r="AA116" s="139"/>
      <c r="AB116" s="123">
        <f>SUM(표3[[#This Row],[1월]:[12월]])</f>
        <v>0</v>
      </c>
      <c r="AC116" s="140"/>
    </row>
    <row r="117" spans="7:29" ht="21" customHeight="1" x14ac:dyDescent="0.3">
      <c r="G117" s="141"/>
      <c r="H117" s="120"/>
      <c r="I117" s="124"/>
      <c r="J117" s="125"/>
      <c r="K117" s="125"/>
      <c r="L117" s="136">
        <f>표3[[#This Row],[발생연차]]+표3[[#This Row],[추가]]-표3[[#This Row],[공제]]</f>
        <v>0</v>
      </c>
      <c r="M117" s="121"/>
      <c r="N117" s="122"/>
      <c r="O117" s="144">
        <f>표3[[#This Row],[총연차]]-표3[[#This Row],[사용분]]-표3[[#This Row],[연차수당분]]</f>
        <v>0</v>
      </c>
      <c r="P117" s="120"/>
      <c r="Q117" s="125"/>
      <c r="R117" s="125"/>
      <c r="S117" s="125"/>
      <c r="T117" s="125"/>
      <c r="U117" s="125"/>
      <c r="V117" s="125"/>
      <c r="W117" s="183"/>
      <c r="X117" s="125"/>
      <c r="Y117" s="125"/>
      <c r="Z117" s="125"/>
      <c r="AA117" s="139"/>
      <c r="AB117" s="123">
        <f>SUM(표3[[#This Row],[1월]:[12월]])</f>
        <v>0</v>
      </c>
      <c r="AC117" s="140"/>
    </row>
    <row r="118" spans="7:29" ht="21" customHeight="1" x14ac:dyDescent="0.3">
      <c r="G118" s="141"/>
      <c r="H118" s="120"/>
      <c r="I118" s="124"/>
      <c r="J118" s="125"/>
      <c r="K118" s="125"/>
      <c r="L118" s="136">
        <f>표3[[#This Row],[발생연차]]+표3[[#This Row],[추가]]-표3[[#This Row],[공제]]</f>
        <v>0</v>
      </c>
      <c r="M118" s="121"/>
      <c r="N118" s="122"/>
      <c r="O118" s="144">
        <f>표3[[#This Row],[총연차]]-표3[[#This Row],[사용분]]-표3[[#This Row],[연차수당분]]</f>
        <v>0</v>
      </c>
      <c r="P118" s="120"/>
      <c r="Q118" s="125"/>
      <c r="R118" s="125"/>
      <c r="S118" s="125"/>
      <c r="T118" s="125"/>
      <c r="U118" s="125"/>
      <c r="V118" s="125"/>
      <c r="W118" s="183"/>
      <c r="X118" s="125"/>
      <c r="Y118" s="125"/>
      <c r="Z118" s="125"/>
      <c r="AA118" s="139"/>
      <c r="AB118" s="123">
        <f>SUM(표3[[#This Row],[1월]:[12월]])</f>
        <v>0</v>
      </c>
      <c r="AC118" s="140"/>
    </row>
    <row r="119" spans="7:29" ht="21" customHeight="1" x14ac:dyDescent="0.3">
      <c r="G119" s="141"/>
      <c r="H119" s="120"/>
      <c r="I119" s="124"/>
      <c r="J119" s="125"/>
      <c r="K119" s="125"/>
      <c r="L119" s="136">
        <f>표3[[#This Row],[발생연차]]+표3[[#This Row],[추가]]-표3[[#This Row],[공제]]</f>
        <v>0</v>
      </c>
      <c r="M119" s="121"/>
      <c r="N119" s="122"/>
      <c r="O119" s="144">
        <f>표3[[#This Row],[총연차]]-표3[[#This Row],[사용분]]-표3[[#This Row],[연차수당분]]</f>
        <v>0</v>
      </c>
      <c r="P119" s="120"/>
      <c r="Q119" s="125"/>
      <c r="R119" s="125"/>
      <c r="S119" s="125"/>
      <c r="T119" s="125"/>
      <c r="U119" s="125"/>
      <c r="V119" s="125"/>
      <c r="W119" s="183"/>
      <c r="X119" s="125"/>
      <c r="Y119" s="125"/>
      <c r="Z119" s="125"/>
      <c r="AA119" s="139"/>
      <c r="AB119" s="123">
        <f>SUM(표3[[#This Row],[1월]:[12월]])</f>
        <v>0</v>
      </c>
      <c r="AC119" s="140"/>
    </row>
    <row r="120" spans="7:29" ht="21" customHeight="1" x14ac:dyDescent="0.3">
      <c r="G120" s="141"/>
      <c r="H120" s="120"/>
      <c r="I120" s="124"/>
      <c r="J120" s="125"/>
      <c r="K120" s="125"/>
      <c r="L120" s="136">
        <f>표3[[#This Row],[발생연차]]+표3[[#This Row],[추가]]-표3[[#This Row],[공제]]</f>
        <v>0</v>
      </c>
      <c r="M120" s="121"/>
      <c r="N120" s="122"/>
      <c r="O120" s="144">
        <f>표3[[#This Row],[총연차]]-표3[[#This Row],[사용분]]-표3[[#This Row],[연차수당분]]</f>
        <v>0</v>
      </c>
      <c r="P120" s="120"/>
      <c r="Q120" s="125"/>
      <c r="R120" s="125"/>
      <c r="S120" s="125"/>
      <c r="T120" s="125"/>
      <c r="U120" s="125"/>
      <c r="V120" s="125"/>
      <c r="W120" s="183"/>
      <c r="X120" s="125"/>
      <c r="Y120" s="125"/>
      <c r="Z120" s="125"/>
      <c r="AA120" s="139"/>
      <c r="AB120" s="123">
        <f>SUM(표3[[#This Row],[1월]:[12월]])</f>
        <v>0</v>
      </c>
      <c r="AC120" s="140"/>
    </row>
    <row r="121" spans="7:29" ht="21" customHeight="1" x14ac:dyDescent="0.3">
      <c r="G121" s="141"/>
      <c r="H121" s="120"/>
      <c r="I121" s="124"/>
      <c r="J121" s="125"/>
      <c r="K121" s="125"/>
      <c r="L121" s="136">
        <f>표3[[#This Row],[발생연차]]+표3[[#This Row],[추가]]-표3[[#This Row],[공제]]</f>
        <v>0</v>
      </c>
      <c r="M121" s="121"/>
      <c r="N121" s="122"/>
      <c r="O121" s="144">
        <f>표3[[#This Row],[총연차]]-표3[[#This Row],[사용분]]-표3[[#This Row],[연차수당분]]</f>
        <v>0</v>
      </c>
      <c r="P121" s="120"/>
      <c r="Q121" s="125"/>
      <c r="R121" s="125"/>
      <c r="S121" s="125"/>
      <c r="T121" s="125"/>
      <c r="U121" s="125"/>
      <c r="V121" s="125"/>
      <c r="W121" s="183"/>
      <c r="X121" s="125"/>
      <c r="Y121" s="125"/>
      <c r="Z121" s="125"/>
      <c r="AA121" s="139"/>
      <c r="AB121" s="123">
        <f>SUM(표3[[#This Row],[1월]:[12월]])</f>
        <v>0</v>
      </c>
      <c r="AC121" s="140"/>
    </row>
    <row r="122" spans="7:29" ht="21" customHeight="1" x14ac:dyDescent="0.3">
      <c r="G122" s="141"/>
      <c r="H122" s="120"/>
      <c r="I122" s="124"/>
      <c r="J122" s="125"/>
      <c r="K122" s="125"/>
      <c r="L122" s="136">
        <f>표3[[#This Row],[발생연차]]+표3[[#This Row],[추가]]-표3[[#This Row],[공제]]</f>
        <v>0</v>
      </c>
      <c r="M122" s="121"/>
      <c r="N122" s="122"/>
      <c r="O122" s="144">
        <f>표3[[#This Row],[총연차]]-표3[[#This Row],[사용분]]-표3[[#This Row],[연차수당분]]</f>
        <v>0</v>
      </c>
      <c r="P122" s="120"/>
      <c r="Q122" s="125"/>
      <c r="R122" s="125"/>
      <c r="S122" s="125"/>
      <c r="T122" s="125"/>
      <c r="U122" s="125"/>
      <c r="V122" s="125"/>
      <c r="W122" s="183"/>
      <c r="X122" s="125"/>
      <c r="Y122" s="125"/>
      <c r="Z122" s="125"/>
      <c r="AA122" s="139"/>
      <c r="AB122" s="123">
        <f>SUM(표3[[#This Row],[1월]:[12월]])</f>
        <v>0</v>
      </c>
      <c r="AC122" s="140"/>
    </row>
    <row r="123" spans="7:29" ht="21" customHeight="1" x14ac:dyDescent="0.3">
      <c r="G123" s="141"/>
      <c r="H123" s="120"/>
      <c r="I123" s="124"/>
      <c r="J123" s="125"/>
      <c r="K123" s="125"/>
      <c r="L123" s="136">
        <f>표3[[#This Row],[발생연차]]+표3[[#This Row],[추가]]-표3[[#This Row],[공제]]</f>
        <v>0</v>
      </c>
      <c r="M123" s="121"/>
      <c r="N123" s="122"/>
      <c r="O123" s="144">
        <f>표3[[#This Row],[총연차]]-표3[[#This Row],[사용분]]-표3[[#This Row],[연차수당분]]</f>
        <v>0</v>
      </c>
      <c r="P123" s="120"/>
      <c r="Q123" s="125"/>
      <c r="R123" s="125"/>
      <c r="S123" s="125"/>
      <c r="T123" s="125"/>
      <c r="U123" s="125"/>
      <c r="V123" s="125"/>
      <c r="W123" s="183"/>
      <c r="X123" s="125"/>
      <c r="Y123" s="125"/>
      <c r="Z123" s="125"/>
      <c r="AA123" s="139"/>
      <c r="AB123" s="123">
        <f>SUM(표3[[#This Row],[1월]:[12월]])</f>
        <v>0</v>
      </c>
      <c r="AC123" s="140"/>
    </row>
    <row r="124" spans="7:29" ht="21" customHeight="1" x14ac:dyDescent="0.3">
      <c r="G124" s="141"/>
      <c r="H124" s="120"/>
      <c r="I124" s="124"/>
      <c r="J124" s="125"/>
      <c r="K124" s="125"/>
      <c r="L124" s="136">
        <f>표3[[#This Row],[발생연차]]+표3[[#This Row],[추가]]-표3[[#This Row],[공제]]</f>
        <v>0</v>
      </c>
      <c r="M124" s="121"/>
      <c r="N124" s="122"/>
      <c r="O124" s="144">
        <f>표3[[#This Row],[총연차]]-표3[[#This Row],[사용분]]-표3[[#This Row],[연차수당분]]</f>
        <v>0</v>
      </c>
      <c r="P124" s="120"/>
      <c r="Q124" s="125"/>
      <c r="R124" s="125"/>
      <c r="S124" s="125"/>
      <c r="T124" s="125"/>
      <c r="U124" s="125"/>
      <c r="V124" s="125"/>
      <c r="W124" s="183"/>
      <c r="X124" s="125"/>
      <c r="Y124" s="125"/>
      <c r="Z124" s="125"/>
      <c r="AA124" s="139"/>
      <c r="AB124" s="123">
        <f>SUM(표3[[#This Row],[1월]:[12월]])</f>
        <v>0</v>
      </c>
      <c r="AC124" s="140"/>
    </row>
    <row r="125" spans="7:29" ht="21" customHeight="1" x14ac:dyDescent="0.3">
      <c r="G125" s="141"/>
      <c r="H125" s="120"/>
      <c r="I125" s="124"/>
      <c r="J125" s="125"/>
      <c r="K125" s="125"/>
      <c r="L125" s="136">
        <f>표3[[#This Row],[발생연차]]+표3[[#This Row],[추가]]-표3[[#This Row],[공제]]</f>
        <v>0</v>
      </c>
      <c r="M125" s="121"/>
      <c r="N125" s="122"/>
      <c r="O125" s="144">
        <f>표3[[#This Row],[총연차]]-표3[[#This Row],[사용분]]-표3[[#This Row],[연차수당분]]</f>
        <v>0</v>
      </c>
      <c r="P125" s="120"/>
      <c r="Q125" s="125"/>
      <c r="R125" s="125"/>
      <c r="S125" s="125"/>
      <c r="T125" s="125"/>
      <c r="U125" s="125"/>
      <c r="V125" s="125"/>
      <c r="W125" s="183"/>
      <c r="X125" s="125"/>
      <c r="Y125" s="125"/>
      <c r="Z125" s="125"/>
      <c r="AA125" s="139"/>
      <c r="AB125" s="123">
        <f>SUM(표3[[#This Row],[1월]:[12월]])</f>
        <v>0</v>
      </c>
      <c r="AC125" s="140"/>
    </row>
    <row r="126" spans="7:29" ht="21" customHeight="1" x14ac:dyDescent="0.3">
      <c r="G126" s="141"/>
      <c r="H126" s="120"/>
      <c r="I126" s="124"/>
      <c r="J126" s="125"/>
      <c r="K126" s="125"/>
      <c r="L126" s="136">
        <f>표3[[#This Row],[발생연차]]+표3[[#This Row],[추가]]-표3[[#This Row],[공제]]</f>
        <v>0</v>
      </c>
      <c r="M126" s="121"/>
      <c r="N126" s="122"/>
      <c r="O126" s="144">
        <f>표3[[#This Row],[총연차]]-표3[[#This Row],[사용분]]-표3[[#This Row],[연차수당분]]</f>
        <v>0</v>
      </c>
      <c r="P126" s="120"/>
      <c r="Q126" s="125"/>
      <c r="R126" s="125"/>
      <c r="S126" s="125"/>
      <c r="T126" s="125"/>
      <c r="U126" s="125"/>
      <c r="V126" s="125"/>
      <c r="W126" s="183"/>
      <c r="X126" s="125"/>
      <c r="Y126" s="125"/>
      <c r="Z126" s="125"/>
      <c r="AA126" s="139"/>
      <c r="AB126" s="123">
        <f>SUM(표3[[#This Row],[1월]:[12월]])</f>
        <v>0</v>
      </c>
      <c r="AC126" s="140"/>
    </row>
    <row r="127" spans="7:29" ht="21" customHeight="1" x14ac:dyDescent="0.3">
      <c r="G127" s="141"/>
      <c r="H127" s="120"/>
      <c r="I127" s="124"/>
      <c r="J127" s="125"/>
      <c r="K127" s="125"/>
      <c r="L127" s="136">
        <f>표3[[#This Row],[발생연차]]+표3[[#This Row],[추가]]-표3[[#This Row],[공제]]</f>
        <v>0</v>
      </c>
      <c r="M127" s="121"/>
      <c r="N127" s="122"/>
      <c r="O127" s="144">
        <f>표3[[#This Row],[총연차]]-표3[[#This Row],[사용분]]-표3[[#This Row],[연차수당분]]</f>
        <v>0</v>
      </c>
      <c r="P127" s="120"/>
      <c r="Q127" s="125"/>
      <c r="R127" s="125"/>
      <c r="S127" s="125"/>
      <c r="T127" s="125"/>
      <c r="U127" s="125"/>
      <c r="V127" s="125"/>
      <c r="W127" s="183"/>
      <c r="X127" s="125"/>
      <c r="Y127" s="125"/>
      <c r="Z127" s="125"/>
      <c r="AA127" s="139"/>
      <c r="AB127" s="123">
        <f>SUM(표3[[#This Row],[1월]:[12월]])</f>
        <v>0</v>
      </c>
      <c r="AC127" s="140"/>
    </row>
    <row r="128" spans="7:29" ht="21" customHeight="1" x14ac:dyDescent="0.3">
      <c r="G128" s="141"/>
      <c r="H128" s="120"/>
      <c r="I128" s="124"/>
      <c r="J128" s="125"/>
      <c r="K128" s="125"/>
      <c r="L128" s="136">
        <f>표3[[#This Row],[발생연차]]+표3[[#This Row],[추가]]-표3[[#This Row],[공제]]</f>
        <v>0</v>
      </c>
      <c r="M128" s="121"/>
      <c r="N128" s="122"/>
      <c r="O128" s="144">
        <f>표3[[#This Row],[총연차]]-표3[[#This Row],[사용분]]-표3[[#This Row],[연차수당분]]</f>
        <v>0</v>
      </c>
      <c r="P128" s="120"/>
      <c r="Q128" s="125"/>
      <c r="R128" s="125"/>
      <c r="S128" s="125"/>
      <c r="T128" s="125"/>
      <c r="U128" s="125"/>
      <c r="V128" s="125"/>
      <c r="W128" s="183"/>
      <c r="X128" s="125"/>
      <c r="Y128" s="125"/>
      <c r="Z128" s="125"/>
      <c r="AA128" s="139"/>
      <c r="AB128" s="123">
        <f>SUM(표3[[#This Row],[1월]:[12월]])</f>
        <v>0</v>
      </c>
      <c r="AC128" s="140"/>
    </row>
    <row r="129" spans="7:29" ht="21" customHeight="1" x14ac:dyDescent="0.3">
      <c r="G129" s="141"/>
      <c r="H129" s="120"/>
      <c r="I129" s="124"/>
      <c r="J129" s="125"/>
      <c r="K129" s="125"/>
      <c r="L129" s="136">
        <f>표3[[#This Row],[발생연차]]+표3[[#This Row],[추가]]-표3[[#This Row],[공제]]</f>
        <v>0</v>
      </c>
      <c r="M129" s="121"/>
      <c r="N129" s="122"/>
      <c r="O129" s="144">
        <f>표3[[#This Row],[총연차]]-표3[[#This Row],[사용분]]-표3[[#This Row],[연차수당분]]</f>
        <v>0</v>
      </c>
      <c r="P129" s="120"/>
      <c r="Q129" s="125"/>
      <c r="R129" s="125"/>
      <c r="S129" s="125"/>
      <c r="T129" s="125"/>
      <c r="U129" s="125"/>
      <c r="V129" s="125"/>
      <c r="W129" s="183"/>
      <c r="X129" s="125"/>
      <c r="Y129" s="125"/>
      <c r="Z129" s="125"/>
      <c r="AA129" s="139"/>
      <c r="AB129" s="123">
        <f>SUM(표3[[#This Row],[1월]:[12월]])</f>
        <v>0</v>
      </c>
      <c r="AC129" s="140"/>
    </row>
    <row r="130" spans="7:29" ht="21" customHeight="1" x14ac:dyDescent="0.3">
      <c r="G130" s="141"/>
      <c r="H130" s="120"/>
      <c r="I130" s="124"/>
      <c r="J130" s="125"/>
      <c r="K130" s="125"/>
      <c r="L130" s="136">
        <f>표3[[#This Row],[발생연차]]+표3[[#This Row],[추가]]-표3[[#This Row],[공제]]</f>
        <v>0</v>
      </c>
      <c r="M130" s="121"/>
      <c r="N130" s="122"/>
      <c r="O130" s="144">
        <f>표3[[#This Row],[총연차]]-표3[[#This Row],[사용분]]-표3[[#This Row],[연차수당분]]</f>
        <v>0</v>
      </c>
      <c r="P130" s="120"/>
      <c r="Q130" s="125"/>
      <c r="R130" s="125"/>
      <c r="S130" s="125"/>
      <c r="T130" s="125"/>
      <c r="U130" s="125"/>
      <c r="V130" s="125"/>
      <c r="W130" s="183"/>
      <c r="X130" s="125"/>
      <c r="Y130" s="125"/>
      <c r="Z130" s="125"/>
      <c r="AA130" s="139"/>
      <c r="AB130" s="123">
        <f>SUM(표3[[#This Row],[1월]:[12월]])</f>
        <v>0</v>
      </c>
      <c r="AC130" s="140"/>
    </row>
    <row r="131" spans="7:29" ht="21" customHeight="1" x14ac:dyDescent="0.3">
      <c r="G131" s="141"/>
      <c r="H131" s="120"/>
      <c r="I131" s="124"/>
      <c r="J131" s="125"/>
      <c r="K131" s="125"/>
      <c r="L131" s="136">
        <f>표3[[#This Row],[발생연차]]+표3[[#This Row],[추가]]-표3[[#This Row],[공제]]</f>
        <v>0</v>
      </c>
      <c r="M131" s="121"/>
      <c r="N131" s="122"/>
      <c r="O131" s="144">
        <f>표3[[#This Row],[총연차]]-표3[[#This Row],[사용분]]-표3[[#This Row],[연차수당분]]</f>
        <v>0</v>
      </c>
      <c r="P131" s="120"/>
      <c r="Q131" s="125"/>
      <c r="R131" s="125"/>
      <c r="S131" s="125"/>
      <c r="T131" s="125"/>
      <c r="U131" s="125"/>
      <c r="V131" s="125"/>
      <c r="W131" s="183"/>
      <c r="X131" s="125"/>
      <c r="Y131" s="125"/>
      <c r="Z131" s="125"/>
      <c r="AA131" s="139"/>
      <c r="AB131" s="123">
        <f>SUM(표3[[#This Row],[1월]:[12월]])</f>
        <v>0</v>
      </c>
      <c r="AC131" s="140"/>
    </row>
    <row r="132" spans="7:29" ht="21" customHeight="1" x14ac:dyDescent="0.3">
      <c r="G132" s="141"/>
      <c r="H132" s="120"/>
      <c r="I132" s="124"/>
      <c r="J132" s="125"/>
      <c r="K132" s="125"/>
      <c r="L132" s="136">
        <f>표3[[#This Row],[발생연차]]+표3[[#This Row],[추가]]-표3[[#This Row],[공제]]</f>
        <v>0</v>
      </c>
      <c r="M132" s="121"/>
      <c r="N132" s="122"/>
      <c r="O132" s="144">
        <f>표3[[#This Row],[총연차]]-표3[[#This Row],[사용분]]-표3[[#This Row],[연차수당분]]</f>
        <v>0</v>
      </c>
      <c r="P132" s="120"/>
      <c r="Q132" s="125"/>
      <c r="R132" s="125"/>
      <c r="S132" s="125"/>
      <c r="T132" s="125"/>
      <c r="U132" s="125"/>
      <c r="V132" s="125"/>
      <c r="W132" s="183"/>
      <c r="X132" s="125"/>
      <c r="Y132" s="125"/>
      <c r="Z132" s="125"/>
      <c r="AA132" s="139"/>
      <c r="AB132" s="123">
        <f>SUM(표3[[#This Row],[1월]:[12월]])</f>
        <v>0</v>
      </c>
      <c r="AC132" s="140"/>
    </row>
    <row r="133" spans="7:29" ht="21" customHeight="1" x14ac:dyDescent="0.3">
      <c r="G133" s="141"/>
      <c r="H133" s="120"/>
      <c r="I133" s="124"/>
      <c r="J133" s="125"/>
      <c r="K133" s="125"/>
      <c r="L133" s="136">
        <f>표3[[#This Row],[발생연차]]+표3[[#This Row],[추가]]-표3[[#This Row],[공제]]</f>
        <v>0</v>
      </c>
      <c r="M133" s="121"/>
      <c r="N133" s="122"/>
      <c r="O133" s="144">
        <f>표3[[#This Row],[총연차]]-표3[[#This Row],[사용분]]-표3[[#This Row],[연차수당분]]</f>
        <v>0</v>
      </c>
      <c r="P133" s="120"/>
      <c r="Q133" s="125"/>
      <c r="R133" s="125"/>
      <c r="S133" s="125"/>
      <c r="T133" s="125"/>
      <c r="U133" s="125"/>
      <c r="V133" s="125"/>
      <c r="W133" s="183"/>
      <c r="X133" s="125"/>
      <c r="Y133" s="125"/>
      <c r="Z133" s="125"/>
      <c r="AA133" s="139"/>
      <c r="AB133" s="123">
        <f>SUM(표3[[#This Row],[1월]:[12월]])</f>
        <v>0</v>
      </c>
      <c r="AC133" s="140"/>
    </row>
    <row r="134" spans="7:29" ht="21" customHeight="1" x14ac:dyDescent="0.3">
      <c r="G134" s="141"/>
      <c r="H134" s="120"/>
      <c r="I134" s="124"/>
      <c r="J134" s="125"/>
      <c r="K134" s="125"/>
      <c r="L134" s="136">
        <f>표3[[#This Row],[발생연차]]+표3[[#This Row],[추가]]-표3[[#This Row],[공제]]</f>
        <v>0</v>
      </c>
      <c r="M134" s="121"/>
      <c r="N134" s="122"/>
      <c r="O134" s="144">
        <f>표3[[#This Row],[총연차]]-표3[[#This Row],[사용분]]-표3[[#This Row],[연차수당분]]</f>
        <v>0</v>
      </c>
      <c r="P134" s="120"/>
      <c r="Q134" s="125"/>
      <c r="R134" s="125"/>
      <c r="S134" s="125"/>
      <c r="T134" s="125"/>
      <c r="U134" s="125"/>
      <c r="V134" s="125"/>
      <c r="W134" s="183"/>
      <c r="X134" s="125"/>
      <c r="Y134" s="125"/>
      <c r="Z134" s="125"/>
      <c r="AA134" s="139"/>
      <c r="AB134" s="123">
        <f>SUM(표3[[#This Row],[1월]:[12월]])</f>
        <v>0</v>
      </c>
      <c r="AC134" s="140"/>
    </row>
    <row r="135" spans="7:29" ht="21" customHeight="1" x14ac:dyDescent="0.3">
      <c r="G135" s="141"/>
      <c r="H135" s="120"/>
      <c r="I135" s="124"/>
      <c r="J135" s="125"/>
      <c r="K135" s="125"/>
      <c r="L135" s="136">
        <f>표3[[#This Row],[발생연차]]+표3[[#This Row],[추가]]-표3[[#This Row],[공제]]</f>
        <v>0</v>
      </c>
      <c r="M135" s="121"/>
      <c r="N135" s="122"/>
      <c r="O135" s="144">
        <f>표3[[#This Row],[총연차]]-표3[[#This Row],[사용분]]-표3[[#This Row],[연차수당분]]</f>
        <v>0</v>
      </c>
      <c r="P135" s="120"/>
      <c r="Q135" s="125"/>
      <c r="R135" s="125"/>
      <c r="S135" s="125"/>
      <c r="T135" s="125"/>
      <c r="U135" s="125"/>
      <c r="V135" s="125"/>
      <c r="W135" s="183"/>
      <c r="X135" s="125"/>
      <c r="Y135" s="125"/>
      <c r="Z135" s="125"/>
      <c r="AA135" s="139"/>
      <c r="AB135" s="123">
        <f>SUM(표3[[#This Row],[1월]:[12월]])</f>
        <v>0</v>
      </c>
      <c r="AC135" s="140"/>
    </row>
    <row r="136" spans="7:29" ht="21" customHeight="1" x14ac:dyDescent="0.3">
      <c r="G136" s="141"/>
      <c r="H136" s="120"/>
      <c r="I136" s="124"/>
      <c r="J136" s="125"/>
      <c r="K136" s="125"/>
      <c r="L136" s="136">
        <f>표3[[#This Row],[발생연차]]+표3[[#This Row],[추가]]-표3[[#This Row],[공제]]</f>
        <v>0</v>
      </c>
      <c r="M136" s="121"/>
      <c r="N136" s="122"/>
      <c r="O136" s="144">
        <f>표3[[#This Row],[총연차]]-표3[[#This Row],[사용분]]-표3[[#This Row],[연차수당분]]</f>
        <v>0</v>
      </c>
      <c r="P136" s="120"/>
      <c r="Q136" s="125"/>
      <c r="R136" s="125"/>
      <c r="S136" s="125"/>
      <c r="T136" s="125"/>
      <c r="U136" s="125"/>
      <c r="V136" s="125"/>
      <c r="W136" s="183"/>
      <c r="X136" s="125"/>
      <c r="Y136" s="125"/>
      <c r="Z136" s="125"/>
      <c r="AA136" s="139"/>
      <c r="AB136" s="123">
        <f>SUM(표3[[#This Row],[1월]:[12월]])</f>
        <v>0</v>
      </c>
      <c r="AC136" s="140"/>
    </row>
    <row r="137" spans="7:29" ht="21" customHeight="1" x14ac:dyDescent="0.3">
      <c r="G137" s="141"/>
      <c r="H137" s="120"/>
      <c r="I137" s="124"/>
      <c r="J137" s="125"/>
      <c r="K137" s="125"/>
      <c r="L137" s="136">
        <f>표3[[#This Row],[발생연차]]+표3[[#This Row],[추가]]-표3[[#This Row],[공제]]</f>
        <v>0</v>
      </c>
      <c r="M137" s="121"/>
      <c r="N137" s="122"/>
      <c r="O137" s="144">
        <f>표3[[#This Row],[총연차]]-표3[[#This Row],[사용분]]-표3[[#This Row],[연차수당분]]</f>
        <v>0</v>
      </c>
      <c r="P137" s="120"/>
      <c r="Q137" s="125"/>
      <c r="R137" s="125"/>
      <c r="S137" s="125"/>
      <c r="T137" s="125"/>
      <c r="U137" s="125"/>
      <c r="V137" s="125"/>
      <c r="W137" s="183"/>
      <c r="X137" s="125"/>
      <c r="Y137" s="125"/>
      <c r="Z137" s="125"/>
      <c r="AA137" s="139"/>
      <c r="AB137" s="123">
        <f>SUM(표3[[#This Row],[1월]:[12월]])</f>
        <v>0</v>
      </c>
      <c r="AC137" s="140"/>
    </row>
    <row r="138" spans="7:29" ht="21" customHeight="1" x14ac:dyDescent="0.3">
      <c r="G138" s="141"/>
      <c r="H138" s="120"/>
      <c r="I138" s="124"/>
      <c r="J138" s="125"/>
      <c r="K138" s="125"/>
      <c r="L138" s="136">
        <f>표3[[#This Row],[발생연차]]+표3[[#This Row],[추가]]-표3[[#This Row],[공제]]</f>
        <v>0</v>
      </c>
      <c r="M138" s="121"/>
      <c r="N138" s="122"/>
      <c r="O138" s="144">
        <f>표3[[#This Row],[총연차]]-표3[[#This Row],[사용분]]-표3[[#This Row],[연차수당분]]</f>
        <v>0</v>
      </c>
      <c r="P138" s="120"/>
      <c r="Q138" s="125"/>
      <c r="R138" s="125"/>
      <c r="S138" s="125"/>
      <c r="T138" s="125"/>
      <c r="U138" s="125"/>
      <c r="V138" s="125"/>
      <c r="W138" s="183"/>
      <c r="X138" s="125"/>
      <c r="Y138" s="125"/>
      <c r="Z138" s="125"/>
      <c r="AA138" s="139"/>
      <c r="AB138" s="123">
        <f>SUM(표3[[#This Row],[1월]:[12월]])</f>
        <v>0</v>
      </c>
      <c r="AC138" s="140"/>
    </row>
    <row r="139" spans="7:29" ht="21" customHeight="1" x14ac:dyDescent="0.3">
      <c r="G139" s="141"/>
      <c r="H139" s="120"/>
      <c r="I139" s="124"/>
      <c r="J139" s="125"/>
      <c r="K139" s="125"/>
      <c r="L139" s="136">
        <f>표3[[#This Row],[발생연차]]+표3[[#This Row],[추가]]-표3[[#This Row],[공제]]</f>
        <v>0</v>
      </c>
      <c r="M139" s="121"/>
      <c r="N139" s="122"/>
      <c r="O139" s="144">
        <f>표3[[#This Row],[총연차]]-표3[[#This Row],[사용분]]-표3[[#This Row],[연차수당분]]</f>
        <v>0</v>
      </c>
      <c r="P139" s="120"/>
      <c r="Q139" s="125"/>
      <c r="R139" s="125"/>
      <c r="S139" s="125"/>
      <c r="T139" s="125"/>
      <c r="U139" s="125"/>
      <c r="V139" s="125"/>
      <c r="W139" s="183"/>
      <c r="X139" s="125"/>
      <c r="Y139" s="125"/>
      <c r="Z139" s="125"/>
      <c r="AA139" s="139"/>
      <c r="AB139" s="123">
        <f>SUM(표3[[#This Row],[1월]:[12월]])</f>
        <v>0</v>
      </c>
      <c r="AC139" s="140"/>
    </row>
    <row r="140" spans="7:29" ht="21" customHeight="1" x14ac:dyDescent="0.3">
      <c r="G140" s="141"/>
      <c r="H140" s="120"/>
      <c r="I140" s="124"/>
      <c r="J140" s="125"/>
      <c r="K140" s="125"/>
      <c r="L140" s="136">
        <f>표3[[#This Row],[발생연차]]+표3[[#This Row],[추가]]-표3[[#This Row],[공제]]</f>
        <v>0</v>
      </c>
      <c r="M140" s="121"/>
      <c r="N140" s="122"/>
      <c r="O140" s="144">
        <f>표3[[#This Row],[총연차]]-표3[[#This Row],[사용분]]-표3[[#This Row],[연차수당분]]</f>
        <v>0</v>
      </c>
      <c r="P140" s="120"/>
      <c r="Q140" s="125"/>
      <c r="R140" s="125"/>
      <c r="S140" s="125"/>
      <c r="T140" s="125"/>
      <c r="U140" s="125"/>
      <c r="V140" s="125"/>
      <c r="W140" s="183"/>
      <c r="X140" s="125"/>
      <c r="Y140" s="125"/>
      <c r="Z140" s="125"/>
      <c r="AA140" s="139"/>
      <c r="AB140" s="123">
        <f>SUM(표3[[#This Row],[1월]:[12월]])</f>
        <v>0</v>
      </c>
      <c r="AC140" s="140"/>
    </row>
    <row r="141" spans="7:29" ht="21" customHeight="1" x14ac:dyDescent="0.3">
      <c r="G141" s="141"/>
      <c r="H141" s="120"/>
      <c r="I141" s="124"/>
      <c r="J141" s="125"/>
      <c r="K141" s="125"/>
      <c r="L141" s="136">
        <f>표3[[#This Row],[발생연차]]+표3[[#This Row],[추가]]-표3[[#This Row],[공제]]</f>
        <v>0</v>
      </c>
      <c r="M141" s="121"/>
      <c r="N141" s="122"/>
      <c r="O141" s="144">
        <f>표3[[#This Row],[총연차]]-표3[[#This Row],[사용분]]-표3[[#This Row],[연차수당분]]</f>
        <v>0</v>
      </c>
      <c r="P141" s="120"/>
      <c r="Q141" s="125"/>
      <c r="R141" s="125"/>
      <c r="S141" s="125"/>
      <c r="T141" s="125"/>
      <c r="U141" s="125"/>
      <c r="V141" s="125"/>
      <c r="W141" s="183"/>
      <c r="X141" s="125"/>
      <c r="Y141" s="125"/>
      <c r="Z141" s="125"/>
      <c r="AA141" s="139"/>
      <c r="AB141" s="123">
        <f>SUM(표3[[#This Row],[1월]:[12월]])</f>
        <v>0</v>
      </c>
      <c r="AC141" s="140"/>
    </row>
    <row r="142" spans="7:29" ht="21" customHeight="1" x14ac:dyDescent="0.3">
      <c r="G142" s="141"/>
      <c r="H142" s="120"/>
      <c r="I142" s="124"/>
      <c r="J142" s="125"/>
      <c r="K142" s="125"/>
      <c r="L142" s="136">
        <f>표3[[#This Row],[발생연차]]+표3[[#This Row],[추가]]-표3[[#This Row],[공제]]</f>
        <v>0</v>
      </c>
      <c r="M142" s="121"/>
      <c r="N142" s="122"/>
      <c r="O142" s="144">
        <f>표3[[#This Row],[총연차]]-표3[[#This Row],[사용분]]-표3[[#This Row],[연차수당분]]</f>
        <v>0</v>
      </c>
      <c r="P142" s="120"/>
      <c r="Q142" s="125"/>
      <c r="R142" s="125"/>
      <c r="S142" s="125"/>
      <c r="T142" s="125"/>
      <c r="U142" s="125"/>
      <c r="V142" s="125"/>
      <c r="W142" s="183"/>
      <c r="X142" s="125"/>
      <c r="Y142" s="125"/>
      <c r="Z142" s="125"/>
      <c r="AA142" s="139"/>
      <c r="AB142" s="123">
        <f>SUM(표3[[#This Row],[1월]:[12월]])</f>
        <v>0</v>
      </c>
      <c r="AC142" s="140"/>
    </row>
    <row r="143" spans="7:29" ht="21" customHeight="1" x14ac:dyDescent="0.3">
      <c r="G143" s="141"/>
      <c r="H143" s="120"/>
      <c r="I143" s="124"/>
      <c r="J143" s="125"/>
      <c r="K143" s="125"/>
      <c r="L143" s="136">
        <f>표3[[#This Row],[발생연차]]+표3[[#This Row],[추가]]-표3[[#This Row],[공제]]</f>
        <v>0</v>
      </c>
      <c r="M143" s="121"/>
      <c r="N143" s="122"/>
      <c r="O143" s="144">
        <f>표3[[#This Row],[총연차]]-표3[[#This Row],[사용분]]-표3[[#This Row],[연차수당분]]</f>
        <v>0</v>
      </c>
      <c r="P143" s="120"/>
      <c r="Q143" s="125"/>
      <c r="R143" s="125"/>
      <c r="S143" s="125"/>
      <c r="T143" s="125"/>
      <c r="U143" s="125"/>
      <c r="V143" s="125"/>
      <c r="W143" s="183"/>
      <c r="X143" s="125"/>
      <c r="Y143" s="125"/>
      <c r="Z143" s="125"/>
      <c r="AA143" s="139"/>
      <c r="AB143" s="123">
        <f>SUM(표3[[#This Row],[1월]:[12월]])</f>
        <v>0</v>
      </c>
      <c r="AC143" s="140"/>
    </row>
    <row r="144" spans="7:29" ht="21" customHeight="1" x14ac:dyDescent="0.3">
      <c r="G144" s="141"/>
      <c r="H144" s="120"/>
      <c r="I144" s="124"/>
      <c r="J144" s="125"/>
      <c r="K144" s="125"/>
      <c r="L144" s="136">
        <f>표3[[#This Row],[발생연차]]+표3[[#This Row],[추가]]-표3[[#This Row],[공제]]</f>
        <v>0</v>
      </c>
      <c r="M144" s="121"/>
      <c r="N144" s="122"/>
      <c r="O144" s="144">
        <f>표3[[#This Row],[총연차]]-표3[[#This Row],[사용분]]-표3[[#This Row],[연차수당분]]</f>
        <v>0</v>
      </c>
      <c r="P144" s="120"/>
      <c r="Q144" s="125"/>
      <c r="R144" s="125"/>
      <c r="S144" s="125"/>
      <c r="T144" s="125"/>
      <c r="U144" s="125"/>
      <c r="V144" s="125"/>
      <c r="W144" s="183"/>
      <c r="X144" s="125"/>
      <c r="Y144" s="125"/>
      <c r="Z144" s="125"/>
      <c r="AA144" s="139"/>
      <c r="AB144" s="123">
        <f>SUM(표3[[#This Row],[1월]:[12월]])</f>
        <v>0</v>
      </c>
      <c r="AC144" s="140"/>
    </row>
    <row r="145" spans="7:29" ht="21" customHeight="1" x14ac:dyDescent="0.3">
      <c r="G145" s="141"/>
      <c r="H145" s="120"/>
      <c r="I145" s="124"/>
      <c r="J145" s="125"/>
      <c r="K145" s="125"/>
      <c r="L145" s="136">
        <f>표3[[#This Row],[발생연차]]+표3[[#This Row],[추가]]-표3[[#This Row],[공제]]</f>
        <v>0</v>
      </c>
      <c r="M145" s="121"/>
      <c r="N145" s="122"/>
      <c r="O145" s="144">
        <f>표3[[#This Row],[총연차]]-표3[[#This Row],[사용분]]-표3[[#This Row],[연차수당분]]</f>
        <v>0</v>
      </c>
      <c r="P145" s="120"/>
      <c r="Q145" s="125"/>
      <c r="R145" s="125"/>
      <c r="S145" s="125"/>
      <c r="T145" s="125"/>
      <c r="U145" s="125"/>
      <c r="V145" s="125"/>
      <c r="W145" s="183"/>
      <c r="X145" s="125"/>
      <c r="Y145" s="125"/>
      <c r="Z145" s="125"/>
      <c r="AA145" s="139"/>
      <c r="AB145" s="123">
        <f>SUM(표3[[#This Row],[1월]:[12월]])</f>
        <v>0</v>
      </c>
      <c r="AC145" s="140"/>
    </row>
    <row r="146" spans="7:29" ht="21" customHeight="1" x14ac:dyDescent="0.3">
      <c r="G146" s="141"/>
      <c r="H146" s="120"/>
      <c r="I146" s="124"/>
      <c r="J146" s="125"/>
      <c r="K146" s="125"/>
      <c r="L146" s="136">
        <f>표3[[#This Row],[발생연차]]+표3[[#This Row],[추가]]-표3[[#This Row],[공제]]</f>
        <v>0</v>
      </c>
      <c r="M146" s="121"/>
      <c r="N146" s="122"/>
      <c r="O146" s="144">
        <f>표3[[#This Row],[총연차]]-표3[[#This Row],[사용분]]-표3[[#This Row],[연차수당분]]</f>
        <v>0</v>
      </c>
      <c r="P146" s="120"/>
      <c r="Q146" s="125"/>
      <c r="R146" s="125"/>
      <c r="S146" s="125"/>
      <c r="T146" s="125"/>
      <c r="U146" s="125"/>
      <c r="V146" s="125"/>
      <c r="W146" s="183"/>
      <c r="X146" s="125"/>
      <c r="Y146" s="125"/>
      <c r="Z146" s="125"/>
      <c r="AA146" s="139"/>
      <c r="AB146" s="123">
        <f>SUM(표3[[#This Row],[1월]:[12월]])</f>
        <v>0</v>
      </c>
      <c r="AC146" s="140"/>
    </row>
    <row r="147" spans="7:29" ht="21" customHeight="1" x14ac:dyDescent="0.3">
      <c r="G147" s="141"/>
      <c r="H147" s="120"/>
      <c r="I147" s="124"/>
      <c r="J147" s="125"/>
      <c r="K147" s="125"/>
      <c r="L147" s="136">
        <f>표3[[#This Row],[발생연차]]+표3[[#This Row],[추가]]-표3[[#This Row],[공제]]</f>
        <v>0</v>
      </c>
      <c r="M147" s="121"/>
      <c r="N147" s="122"/>
      <c r="O147" s="144">
        <f>표3[[#This Row],[총연차]]-표3[[#This Row],[사용분]]-표3[[#This Row],[연차수당분]]</f>
        <v>0</v>
      </c>
      <c r="P147" s="120"/>
      <c r="Q147" s="125"/>
      <c r="R147" s="125"/>
      <c r="S147" s="125"/>
      <c r="T147" s="125"/>
      <c r="U147" s="125"/>
      <c r="V147" s="125"/>
      <c r="W147" s="183"/>
      <c r="X147" s="125"/>
      <c r="Y147" s="125"/>
      <c r="Z147" s="125"/>
      <c r="AA147" s="139"/>
      <c r="AB147" s="123">
        <f>SUM(표3[[#This Row],[1월]:[12월]])</f>
        <v>0</v>
      </c>
      <c r="AC147" s="140"/>
    </row>
    <row r="148" spans="7:29" ht="21" customHeight="1" x14ac:dyDescent="0.3">
      <c r="G148" s="141"/>
      <c r="H148" s="120"/>
      <c r="I148" s="124"/>
      <c r="J148" s="125"/>
      <c r="K148" s="125"/>
      <c r="L148" s="136">
        <f>표3[[#This Row],[발생연차]]+표3[[#This Row],[추가]]-표3[[#This Row],[공제]]</f>
        <v>0</v>
      </c>
      <c r="M148" s="121"/>
      <c r="N148" s="122"/>
      <c r="O148" s="144">
        <f>표3[[#This Row],[총연차]]-표3[[#This Row],[사용분]]-표3[[#This Row],[연차수당분]]</f>
        <v>0</v>
      </c>
      <c r="P148" s="120"/>
      <c r="Q148" s="125"/>
      <c r="R148" s="125"/>
      <c r="S148" s="125"/>
      <c r="T148" s="125"/>
      <c r="U148" s="125"/>
      <c r="V148" s="125"/>
      <c r="W148" s="183"/>
      <c r="X148" s="125"/>
      <c r="Y148" s="125"/>
      <c r="Z148" s="125"/>
      <c r="AA148" s="139"/>
      <c r="AB148" s="123">
        <f>SUM(표3[[#This Row],[1월]:[12월]])</f>
        <v>0</v>
      </c>
      <c r="AC148" s="140"/>
    </row>
    <row r="149" spans="7:29" ht="21" customHeight="1" x14ac:dyDescent="0.3">
      <c r="G149" s="141"/>
      <c r="H149" s="120"/>
      <c r="I149" s="124"/>
      <c r="J149" s="125"/>
      <c r="K149" s="125"/>
      <c r="L149" s="136">
        <f>표3[[#This Row],[발생연차]]+표3[[#This Row],[추가]]-표3[[#This Row],[공제]]</f>
        <v>0</v>
      </c>
      <c r="M149" s="121"/>
      <c r="N149" s="122"/>
      <c r="O149" s="144">
        <f>표3[[#This Row],[총연차]]-표3[[#This Row],[사용분]]-표3[[#This Row],[연차수당분]]</f>
        <v>0</v>
      </c>
      <c r="P149" s="120"/>
      <c r="Q149" s="125"/>
      <c r="R149" s="125"/>
      <c r="S149" s="125"/>
      <c r="T149" s="125"/>
      <c r="U149" s="125"/>
      <c r="V149" s="125"/>
      <c r="W149" s="183"/>
      <c r="X149" s="125"/>
      <c r="Y149" s="125"/>
      <c r="Z149" s="125"/>
      <c r="AA149" s="139"/>
      <c r="AB149" s="123">
        <f>SUM(표3[[#This Row],[1월]:[12월]])</f>
        <v>0</v>
      </c>
      <c r="AC149" s="140"/>
    </row>
    <row r="150" spans="7:29" ht="21" customHeight="1" x14ac:dyDescent="0.3">
      <c r="G150" s="141"/>
      <c r="H150" s="120"/>
      <c r="I150" s="124"/>
      <c r="J150" s="125"/>
      <c r="K150" s="125"/>
      <c r="L150" s="136">
        <f>표3[[#This Row],[발생연차]]+표3[[#This Row],[추가]]-표3[[#This Row],[공제]]</f>
        <v>0</v>
      </c>
      <c r="M150" s="121"/>
      <c r="N150" s="122"/>
      <c r="O150" s="144">
        <f>표3[[#This Row],[총연차]]-표3[[#This Row],[사용분]]-표3[[#This Row],[연차수당분]]</f>
        <v>0</v>
      </c>
      <c r="P150" s="120"/>
      <c r="Q150" s="125"/>
      <c r="R150" s="125"/>
      <c r="S150" s="125"/>
      <c r="T150" s="125"/>
      <c r="U150" s="125"/>
      <c r="V150" s="125"/>
      <c r="W150" s="183"/>
      <c r="X150" s="125"/>
      <c r="Y150" s="125"/>
      <c r="Z150" s="125"/>
      <c r="AA150" s="139"/>
      <c r="AB150" s="123">
        <f>SUM(표3[[#This Row],[1월]:[12월]])</f>
        <v>0</v>
      </c>
      <c r="AC150" s="140"/>
    </row>
    <row r="151" spans="7:29" ht="21" customHeight="1" x14ac:dyDescent="0.3">
      <c r="G151" s="141"/>
      <c r="H151" s="120"/>
      <c r="I151" s="124"/>
      <c r="J151" s="125"/>
      <c r="K151" s="125"/>
      <c r="L151" s="136">
        <f>표3[[#This Row],[발생연차]]+표3[[#This Row],[추가]]-표3[[#This Row],[공제]]</f>
        <v>0</v>
      </c>
      <c r="M151" s="121"/>
      <c r="N151" s="122"/>
      <c r="O151" s="144">
        <f>표3[[#This Row],[총연차]]-표3[[#This Row],[사용분]]-표3[[#This Row],[연차수당분]]</f>
        <v>0</v>
      </c>
      <c r="P151" s="120"/>
      <c r="Q151" s="125"/>
      <c r="R151" s="125"/>
      <c r="S151" s="125"/>
      <c r="T151" s="125"/>
      <c r="U151" s="125"/>
      <c r="V151" s="125"/>
      <c r="W151" s="183"/>
      <c r="X151" s="125"/>
      <c r="Y151" s="125"/>
      <c r="Z151" s="125"/>
      <c r="AA151" s="139"/>
      <c r="AB151" s="123">
        <f>SUM(표3[[#This Row],[1월]:[12월]])</f>
        <v>0</v>
      </c>
      <c r="AC151" s="140"/>
    </row>
    <row r="152" spans="7:29" ht="21" customHeight="1" x14ac:dyDescent="0.3">
      <c r="G152" s="141"/>
      <c r="H152" s="120"/>
      <c r="I152" s="124"/>
      <c r="J152" s="125"/>
      <c r="K152" s="125"/>
      <c r="L152" s="136">
        <f>표3[[#This Row],[발생연차]]+표3[[#This Row],[추가]]-표3[[#This Row],[공제]]</f>
        <v>0</v>
      </c>
      <c r="M152" s="121"/>
      <c r="N152" s="122"/>
      <c r="O152" s="144">
        <f>표3[[#This Row],[총연차]]-표3[[#This Row],[사용분]]-표3[[#This Row],[연차수당분]]</f>
        <v>0</v>
      </c>
      <c r="P152" s="120"/>
      <c r="Q152" s="125"/>
      <c r="R152" s="125"/>
      <c r="S152" s="125"/>
      <c r="T152" s="125"/>
      <c r="U152" s="125"/>
      <c r="V152" s="125"/>
      <c r="W152" s="183"/>
      <c r="X152" s="125"/>
      <c r="Y152" s="125"/>
      <c r="Z152" s="125"/>
      <c r="AA152" s="139"/>
      <c r="AB152" s="123">
        <f>SUM(표3[[#This Row],[1월]:[12월]])</f>
        <v>0</v>
      </c>
      <c r="AC152" s="140"/>
    </row>
    <row r="153" spans="7:29" ht="21" customHeight="1" x14ac:dyDescent="0.3">
      <c r="G153" s="141"/>
      <c r="H153" s="120"/>
      <c r="I153" s="124"/>
      <c r="J153" s="125"/>
      <c r="K153" s="125"/>
      <c r="L153" s="136">
        <f>표3[[#This Row],[발생연차]]+표3[[#This Row],[추가]]-표3[[#This Row],[공제]]</f>
        <v>0</v>
      </c>
      <c r="M153" s="121"/>
      <c r="N153" s="122"/>
      <c r="O153" s="144">
        <f>표3[[#This Row],[총연차]]-표3[[#This Row],[사용분]]-표3[[#This Row],[연차수당분]]</f>
        <v>0</v>
      </c>
      <c r="P153" s="120"/>
      <c r="Q153" s="125"/>
      <c r="R153" s="125"/>
      <c r="S153" s="125"/>
      <c r="T153" s="125"/>
      <c r="U153" s="125"/>
      <c r="V153" s="125"/>
      <c r="W153" s="183"/>
      <c r="X153" s="125"/>
      <c r="Y153" s="125"/>
      <c r="Z153" s="125"/>
      <c r="AA153" s="139"/>
      <c r="AB153" s="123">
        <f>SUM(표3[[#This Row],[1월]:[12월]])</f>
        <v>0</v>
      </c>
      <c r="AC153" s="140"/>
    </row>
    <row r="154" spans="7:29" ht="21" customHeight="1" x14ac:dyDescent="0.3">
      <c r="G154" s="141"/>
      <c r="H154" s="120"/>
      <c r="I154" s="124"/>
      <c r="J154" s="125"/>
      <c r="K154" s="125"/>
      <c r="L154" s="136">
        <f>표3[[#This Row],[발생연차]]+표3[[#This Row],[추가]]-표3[[#This Row],[공제]]</f>
        <v>0</v>
      </c>
      <c r="M154" s="121"/>
      <c r="N154" s="122"/>
      <c r="O154" s="144">
        <f>표3[[#This Row],[총연차]]-표3[[#This Row],[사용분]]-표3[[#This Row],[연차수당분]]</f>
        <v>0</v>
      </c>
      <c r="P154" s="120"/>
      <c r="Q154" s="125"/>
      <c r="R154" s="125"/>
      <c r="S154" s="125"/>
      <c r="T154" s="125"/>
      <c r="U154" s="125"/>
      <c r="V154" s="125"/>
      <c r="W154" s="183"/>
      <c r="X154" s="125"/>
      <c r="Y154" s="125"/>
      <c r="Z154" s="125"/>
      <c r="AA154" s="139"/>
      <c r="AB154" s="123">
        <f>SUM(표3[[#This Row],[1월]:[12월]])</f>
        <v>0</v>
      </c>
      <c r="AC154" s="140"/>
    </row>
    <row r="155" spans="7:29" ht="21" customHeight="1" x14ac:dyDescent="0.3">
      <c r="G155" s="141"/>
      <c r="H155" s="120"/>
      <c r="I155" s="124"/>
      <c r="J155" s="125"/>
      <c r="K155" s="125"/>
      <c r="L155" s="136">
        <f>표3[[#This Row],[발생연차]]+표3[[#This Row],[추가]]-표3[[#This Row],[공제]]</f>
        <v>0</v>
      </c>
      <c r="M155" s="121"/>
      <c r="N155" s="122"/>
      <c r="O155" s="144">
        <f>표3[[#This Row],[총연차]]-표3[[#This Row],[사용분]]-표3[[#This Row],[연차수당분]]</f>
        <v>0</v>
      </c>
      <c r="P155" s="120"/>
      <c r="Q155" s="125"/>
      <c r="R155" s="125"/>
      <c r="S155" s="125"/>
      <c r="T155" s="125"/>
      <c r="U155" s="125"/>
      <c r="V155" s="125"/>
      <c r="W155" s="183"/>
      <c r="X155" s="125"/>
      <c r="Y155" s="125"/>
      <c r="Z155" s="125"/>
      <c r="AA155" s="139"/>
      <c r="AB155" s="123">
        <f>SUM(표3[[#This Row],[1월]:[12월]])</f>
        <v>0</v>
      </c>
      <c r="AC155" s="140"/>
    </row>
    <row r="156" spans="7:29" ht="21" customHeight="1" x14ac:dyDescent="0.3">
      <c r="G156" s="141"/>
      <c r="H156" s="120"/>
      <c r="I156" s="124"/>
      <c r="J156" s="125"/>
      <c r="K156" s="125"/>
      <c r="L156" s="136">
        <f>표3[[#This Row],[발생연차]]+표3[[#This Row],[추가]]-표3[[#This Row],[공제]]</f>
        <v>0</v>
      </c>
      <c r="M156" s="121"/>
      <c r="N156" s="122"/>
      <c r="O156" s="144">
        <f>표3[[#This Row],[총연차]]-표3[[#This Row],[사용분]]-표3[[#This Row],[연차수당분]]</f>
        <v>0</v>
      </c>
      <c r="P156" s="120"/>
      <c r="Q156" s="125"/>
      <c r="R156" s="125"/>
      <c r="S156" s="125"/>
      <c r="T156" s="125"/>
      <c r="U156" s="125"/>
      <c r="V156" s="125"/>
      <c r="W156" s="183"/>
      <c r="X156" s="125"/>
      <c r="Y156" s="125"/>
      <c r="Z156" s="125"/>
      <c r="AA156" s="139"/>
      <c r="AB156" s="123">
        <f>SUM(표3[[#This Row],[1월]:[12월]])</f>
        <v>0</v>
      </c>
      <c r="AC156" s="140"/>
    </row>
    <row r="157" spans="7:29" ht="21" customHeight="1" x14ac:dyDescent="0.3">
      <c r="G157" s="141"/>
      <c r="H157" s="120"/>
      <c r="I157" s="124"/>
      <c r="J157" s="125"/>
      <c r="K157" s="125"/>
      <c r="L157" s="136">
        <f>표3[[#This Row],[발생연차]]+표3[[#This Row],[추가]]-표3[[#This Row],[공제]]</f>
        <v>0</v>
      </c>
      <c r="M157" s="121"/>
      <c r="N157" s="122"/>
      <c r="O157" s="144">
        <f>표3[[#This Row],[총연차]]-표3[[#This Row],[사용분]]-표3[[#This Row],[연차수당분]]</f>
        <v>0</v>
      </c>
      <c r="P157" s="120"/>
      <c r="Q157" s="125"/>
      <c r="R157" s="125"/>
      <c r="S157" s="125"/>
      <c r="T157" s="125"/>
      <c r="U157" s="125"/>
      <c r="V157" s="125"/>
      <c r="W157" s="183"/>
      <c r="X157" s="125"/>
      <c r="Y157" s="125"/>
      <c r="Z157" s="125"/>
      <c r="AA157" s="139"/>
      <c r="AB157" s="123">
        <f>SUM(표3[[#This Row],[1월]:[12월]])</f>
        <v>0</v>
      </c>
      <c r="AC157" s="140"/>
    </row>
    <row r="158" spans="7:29" ht="21" customHeight="1" x14ac:dyDescent="0.3">
      <c r="G158" s="141"/>
      <c r="H158" s="120"/>
      <c r="I158" s="124"/>
      <c r="J158" s="125"/>
      <c r="K158" s="125"/>
      <c r="L158" s="136">
        <f>표3[[#This Row],[발생연차]]+표3[[#This Row],[추가]]-표3[[#This Row],[공제]]</f>
        <v>0</v>
      </c>
      <c r="M158" s="121"/>
      <c r="N158" s="122"/>
      <c r="O158" s="144">
        <f>표3[[#This Row],[총연차]]-표3[[#This Row],[사용분]]-표3[[#This Row],[연차수당분]]</f>
        <v>0</v>
      </c>
      <c r="P158" s="120"/>
      <c r="Q158" s="125"/>
      <c r="R158" s="125"/>
      <c r="S158" s="125"/>
      <c r="T158" s="125"/>
      <c r="U158" s="125"/>
      <c r="V158" s="125"/>
      <c r="W158" s="183"/>
      <c r="X158" s="125"/>
      <c r="Y158" s="125"/>
      <c r="Z158" s="125"/>
      <c r="AA158" s="139"/>
      <c r="AB158" s="123">
        <f>SUM(표3[[#This Row],[1월]:[12월]])</f>
        <v>0</v>
      </c>
      <c r="AC158" s="140"/>
    </row>
    <row r="159" spans="7:29" ht="21" customHeight="1" x14ac:dyDescent="0.3">
      <c r="G159" s="141"/>
      <c r="H159" s="120"/>
      <c r="I159" s="124"/>
      <c r="J159" s="125"/>
      <c r="K159" s="125"/>
      <c r="L159" s="136">
        <f>표3[[#This Row],[발생연차]]+표3[[#This Row],[추가]]-표3[[#This Row],[공제]]</f>
        <v>0</v>
      </c>
      <c r="M159" s="121"/>
      <c r="N159" s="122"/>
      <c r="O159" s="144">
        <f>표3[[#This Row],[총연차]]-표3[[#This Row],[사용분]]-표3[[#This Row],[연차수당분]]</f>
        <v>0</v>
      </c>
      <c r="P159" s="120"/>
      <c r="Q159" s="125"/>
      <c r="R159" s="125"/>
      <c r="S159" s="125"/>
      <c r="T159" s="125"/>
      <c r="U159" s="125"/>
      <c r="V159" s="125"/>
      <c r="W159" s="183"/>
      <c r="X159" s="125"/>
      <c r="Y159" s="125"/>
      <c r="Z159" s="125"/>
      <c r="AA159" s="139"/>
      <c r="AB159" s="123">
        <f>SUM(표3[[#This Row],[1월]:[12월]])</f>
        <v>0</v>
      </c>
      <c r="AC159" s="140"/>
    </row>
    <row r="160" spans="7:29" ht="21" customHeight="1" x14ac:dyDescent="0.3">
      <c r="G160" s="141"/>
      <c r="H160" s="120"/>
      <c r="I160" s="124"/>
      <c r="J160" s="125"/>
      <c r="K160" s="125"/>
      <c r="L160" s="136">
        <f>표3[[#This Row],[발생연차]]+표3[[#This Row],[추가]]-표3[[#This Row],[공제]]</f>
        <v>0</v>
      </c>
      <c r="M160" s="121"/>
      <c r="N160" s="122"/>
      <c r="O160" s="144">
        <f>표3[[#This Row],[총연차]]-표3[[#This Row],[사용분]]-표3[[#This Row],[연차수당분]]</f>
        <v>0</v>
      </c>
      <c r="P160" s="120"/>
      <c r="Q160" s="125"/>
      <c r="R160" s="125"/>
      <c r="S160" s="125"/>
      <c r="T160" s="125"/>
      <c r="U160" s="125"/>
      <c r="V160" s="125"/>
      <c r="W160" s="183"/>
      <c r="X160" s="125"/>
      <c r="Y160" s="125"/>
      <c r="Z160" s="125"/>
      <c r="AA160" s="139"/>
      <c r="AB160" s="123">
        <f>SUM(표3[[#This Row],[1월]:[12월]])</f>
        <v>0</v>
      </c>
      <c r="AC160" s="140"/>
    </row>
    <row r="161" spans="7:29" ht="21" customHeight="1" x14ac:dyDescent="0.3">
      <c r="G161" s="141"/>
      <c r="H161" s="120"/>
      <c r="I161" s="124"/>
      <c r="J161" s="125"/>
      <c r="K161" s="125"/>
      <c r="L161" s="136">
        <f>표3[[#This Row],[발생연차]]+표3[[#This Row],[추가]]-표3[[#This Row],[공제]]</f>
        <v>0</v>
      </c>
      <c r="M161" s="121"/>
      <c r="N161" s="122"/>
      <c r="O161" s="144">
        <f>표3[[#This Row],[총연차]]-표3[[#This Row],[사용분]]-표3[[#This Row],[연차수당분]]</f>
        <v>0</v>
      </c>
      <c r="P161" s="120"/>
      <c r="Q161" s="125"/>
      <c r="R161" s="125"/>
      <c r="S161" s="125"/>
      <c r="T161" s="125"/>
      <c r="U161" s="125"/>
      <c r="V161" s="125"/>
      <c r="W161" s="183"/>
      <c r="X161" s="125"/>
      <c r="Y161" s="125"/>
      <c r="Z161" s="125"/>
      <c r="AA161" s="139"/>
      <c r="AB161" s="123">
        <f>SUM(표3[[#This Row],[1월]:[12월]])</f>
        <v>0</v>
      </c>
      <c r="AC161" s="140"/>
    </row>
    <row r="162" spans="7:29" ht="21" customHeight="1" x14ac:dyDescent="0.3">
      <c r="G162" s="141"/>
      <c r="H162" s="120"/>
      <c r="I162" s="124"/>
      <c r="J162" s="125"/>
      <c r="K162" s="125"/>
      <c r="L162" s="136">
        <f>표3[[#This Row],[발생연차]]+표3[[#This Row],[추가]]-표3[[#This Row],[공제]]</f>
        <v>0</v>
      </c>
      <c r="M162" s="121"/>
      <c r="N162" s="122"/>
      <c r="O162" s="144">
        <f>표3[[#This Row],[총연차]]-표3[[#This Row],[사용분]]-표3[[#This Row],[연차수당분]]</f>
        <v>0</v>
      </c>
      <c r="P162" s="120"/>
      <c r="Q162" s="125"/>
      <c r="R162" s="125"/>
      <c r="S162" s="125"/>
      <c r="T162" s="125"/>
      <c r="U162" s="125"/>
      <c r="V162" s="125"/>
      <c r="W162" s="183"/>
      <c r="X162" s="125"/>
      <c r="Y162" s="125"/>
      <c r="Z162" s="125"/>
      <c r="AA162" s="139"/>
      <c r="AB162" s="123">
        <f>SUM(표3[[#This Row],[1월]:[12월]])</f>
        <v>0</v>
      </c>
      <c r="AC162" s="140"/>
    </row>
    <row r="163" spans="7:29" ht="21" customHeight="1" x14ac:dyDescent="0.3">
      <c r="G163" s="141"/>
      <c r="H163" s="120"/>
      <c r="I163" s="124"/>
      <c r="J163" s="125"/>
      <c r="K163" s="125"/>
      <c r="L163" s="136">
        <f>표3[[#This Row],[발생연차]]+표3[[#This Row],[추가]]-표3[[#This Row],[공제]]</f>
        <v>0</v>
      </c>
      <c r="M163" s="121"/>
      <c r="N163" s="122"/>
      <c r="O163" s="144">
        <f>표3[[#This Row],[총연차]]-표3[[#This Row],[사용분]]-표3[[#This Row],[연차수당분]]</f>
        <v>0</v>
      </c>
      <c r="P163" s="120"/>
      <c r="Q163" s="125"/>
      <c r="R163" s="125"/>
      <c r="S163" s="125"/>
      <c r="T163" s="125"/>
      <c r="U163" s="125"/>
      <c r="V163" s="125"/>
      <c r="W163" s="183"/>
      <c r="X163" s="125"/>
      <c r="Y163" s="125"/>
      <c r="Z163" s="125"/>
      <c r="AA163" s="139"/>
      <c r="AB163" s="123">
        <f>SUM(표3[[#This Row],[1월]:[12월]])</f>
        <v>0</v>
      </c>
      <c r="AC163" s="140"/>
    </row>
    <row r="164" spans="7:29" ht="21" customHeight="1" x14ac:dyDescent="0.3">
      <c r="G164" s="141"/>
      <c r="H164" s="120"/>
      <c r="I164" s="124"/>
      <c r="J164" s="125"/>
      <c r="K164" s="125"/>
      <c r="L164" s="136">
        <f>표3[[#This Row],[발생연차]]+표3[[#This Row],[추가]]-표3[[#This Row],[공제]]</f>
        <v>0</v>
      </c>
      <c r="M164" s="121"/>
      <c r="N164" s="122"/>
      <c r="O164" s="144">
        <f>표3[[#This Row],[총연차]]-표3[[#This Row],[사용분]]-표3[[#This Row],[연차수당분]]</f>
        <v>0</v>
      </c>
      <c r="P164" s="120"/>
      <c r="Q164" s="125"/>
      <c r="R164" s="125"/>
      <c r="S164" s="125"/>
      <c r="T164" s="125"/>
      <c r="U164" s="125"/>
      <c r="V164" s="125"/>
      <c r="W164" s="183"/>
      <c r="X164" s="125"/>
      <c r="Y164" s="125"/>
      <c r="Z164" s="125"/>
      <c r="AA164" s="139"/>
      <c r="AB164" s="123">
        <f>SUM(표3[[#This Row],[1월]:[12월]])</f>
        <v>0</v>
      </c>
      <c r="AC164" s="140"/>
    </row>
    <row r="165" spans="7:29" ht="21" customHeight="1" x14ac:dyDescent="0.3">
      <c r="G165" s="141"/>
      <c r="H165" s="120"/>
      <c r="I165" s="124"/>
      <c r="J165" s="125"/>
      <c r="K165" s="125"/>
      <c r="L165" s="136">
        <f>표3[[#This Row],[발생연차]]+표3[[#This Row],[추가]]-표3[[#This Row],[공제]]</f>
        <v>0</v>
      </c>
      <c r="M165" s="121"/>
      <c r="N165" s="122"/>
      <c r="O165" s="144">
        <f>표3[[#This Row],[총연차]]-표3[[#This Row],[사용분]]-표3[[#This Row],[연차수당분]]</f>
        <v>0</v>
      </c>
      <c r="P165" s="120"/>
      <c r="Q165" s="125"/>
      <c r="R165" s="125"/>
      <c r="S165" s="125"/>
      <c r="T165" s="125"/>
      <c r="U165" s="125"/>
      <c r="V165" s="125"/>
      <c r="W165" s="183"/>
      <c r="X165" s="125"/>
      <c r="Y165" s="125"/>
      <c r="Z165" s="125"/>
      <c r="AA165" s="139"/>
      <c r="AB165" s="123">
        <f>SUM(표3[[#This Row],[1월]:[12월]])</f>
        <v>0</v>
      </c>
      <c r="AC165" s="140"/>
    </row>
    <row r="166" spans="7:29" ht="21" customHeight="1" x14ac:dyDescent="0.3">
      <c r="G166" s="141"/>
      <c r="H166" s="120"/>
      <c r="I166" s="124"/>
      <c r="J166" s="125"/>
      <c r="K166" s="125"/>
      <c r="L166" s="136">
        <f>표3[[#This Row],[발생연차]]+표3[[#This Row],[추가]]-표3[[#This Row],[공제]]</f>
        <v>0</v>
      </c>
      <c r="M166" s="121"/>
      <c r="N166" s="122"/>
      <c r="O166" s="144">
        <f>표3[[#This Row],[총연차]]-표3[[#This Row],[사용분]]-표3[[#This Row],[연차수당분]]</f>
        <v>0</v>
      </c>
      <c r="P166" s="120"/>
      <c r="Q166" s="125"/>
      <c r="R166" s="125"/>
      <c r="S166" s="125"/>
      <c r="T166" s="125"/>
      <c r="U166" s="125"/>
      <c r="V166" s="125"/>
      <c r="W166" s="183"/>
      <c r="X166" s="125"/>
      <c r="Y166" s="125"/>
      <c r="Z166" s="125"/>
      <c r="AA166" s="139"/>
      <c r="AB166" s="123">
        <f>SUM(표3[[#This Row],[1월]:[12월]])</f>
        <v>0</v>
      </c>
      <c r="AC166" s="140"/>
    </row>
    <row r="167" spans="7:29" ht="21" customHeight="1" x14ac:dyDescent="0.3">
      <c r="G167" s="141"/>
      <c r="H167" s="120"/>
      <c r="I167" s="124"/>
      <c r="J167" s="125"/>
      <c r="K167" s="125"/>
      <c r="L167" s="136">
        <f>표3[[#This Row],[발생연차]]+표3[[#This Row],[추가]]-표3[[#This Row],[공제]]</f>
        <v>0</v>
      </c>
      <c r="M167" s="121"/>
      <c r="N167" s="122"/>
      <c r="O167" s="144">
        <f>표3[[#This Row],[총연차]]-표3[[#This Row],[사용분]]-표3[[#This Row],[연차수당분]]</f>
        <v>0</v>
      </c>
      <c r="P167" s="120"/>
      <c r="Q167" s="125"/>
      <c r="R167" s="125"/>
      <c r="S167" s="125"/>
      <c r="T167" s="125"/>
      <c r="U167" s="125"/>
      <c r="V167" s="125"/>
      <c r="W167" s="183"/>
      <c r="X167" s="125"/>
      <c r="Y167" s="125"/>
      <c r="Z167" s="125"/>
      <c r="AA167" s="139"/>
      <c r="AB167" s="123">
        <f>SUM(표3[[#This Row],[1월]:[12월]])</f>
        <v>0</v>
      </c>
      <c r="AC167" s="140"/>
    </row>
    <row r="168" spans="7:29" ht="21" customHeight="1" x14ac:dyDescent="0.3">
      <c r="G168" s="141"/>
      <c r="H168" s="120"/>
      <c r="I168" s="124"/>
      <c r="J168" s="125"/>
      <c r="K168" s="125"/>
      <c r="L168" s="136">
        <f>표3[[#This Row],[발생연차]]+표3[[#This Row],[추가]]-표3[[#This Row],[공제]]</f>
        <v>0</v>
      </c>
      <c r="M168" s="121"/>
      <c r="N168" s="122"/>
      <c r="O168" s="144">
        <f>표3[[#This Row],[총연차]]-표3[[#This Row],[사용분]]-표3[[#This Row],[연차수당분]]</f>
        <v>0</v>
      </c>
      <c r="P168" s="120"/>
      <c r="Q168" s="125"/>
      <c r="R168" s="125"/>
      <c r="S168" s="125"/>
      <c r="T168" s="125"/>
      <c r="U168" s="125"/>
      <c r="V168" s="125"/>
      <c r="W168" s="183"/>
      <c r="X168" s="125"/>
      <c r="Y168" s="125"/>
      <c r="Z168" s="125"/>
      <c r="AA168" s="139"/>
      <c r="AB168" s="123">
        <f>SUM(표3[[#This Row],[1월]:[12월]])</f>
        <v>0</v>
      </c>
      <c r="AC168" s="140"/>
    </row>
    <row r="169" spans="7:29" ht="21" customHeight="1" x14ac:dyDescent="0.3">
      <c r="G169" s="141"/>
      <c r="H169" s="120"/>
      <c r="I169" s="124"/>
      <c r="J169" s="125"/>
      <c r="K169" s="125"/>
      <c r="L169" s="136">
        <f>표3[[#This Row],[발생연차]]+표3[[#This Row],[추가]]-표3[[#This Row],[공제]]</f>
        <v>0</v>
      </c>
      <c r="M169" s="121"/>
      <c r="N169" s="122"/>
      <c r="O169" s="144">
        <f>표3[[#This Row],[총연차]]-표3[[#This Row],[사용분]]-표3[[#This Row],[연차수당분]]</f>
        <v>0</v>
      </c>
      <c r="P169" s="120"/>
      <c r="Q169" s="125"/>
      <c r="R169" s="125"/>
      <c r="S169" s="125"/>
      <c r="T169" s="125"/>
      <c r="U169" s="125"/>
      <c r="V169" s="125"/>
      <c r="W169" s="183"/>
      <c r="X169" s="125"/>
      <c r="Y169" s="125"/>
      <c r="Z169" s="125"/>
      <c r="AA169" s="139"/>
      <c r="AB169" s="123">
        <f>SUM(표3[[#This Row],[1월]:[12월]])</f>
        <v>0</v>
      </c>
      <c r="AC169" s="140"/>
    </row>
    <row r="170" spans="7:29" ht="21" customHeight="1" x14ac:dyDescent="0.3">
      <c r="G170" s="141"/>
      <c r="H170" s="120"/>
      <c r="I170" s="124"/>
      <c r="J170" s="125"/>
      <c r="K170" s="125"/>
      <c r="L170" s="136">
        <f>표3[[#This Row],[발생연차]]+표3[[#This Row],[추가]]-표3[[#This Row],[공제]]</f>
        <v>0</v>
      </c>
      <c r="M170" s="121"/>
      <c r="N170" s="122"/>
      <c r="O170" s="144">
        <f>표3[[#This Row],[총연차]]-표3[[#This Row],[사용분]]-표3[[#This Row],[연차수당분]]</f>
        <v>0</v>
      </c>
      <c r="P170" s="120"/>
      <c r="Q170" s="125"/>
      <c r="R170" s="125"/>
      <c r="S170" s="125"/>
      <c r="T170" s="125"/>
      <c r="U170" s="125"/>
      <c r="V170" s="125"/>
      <c r="W170" s="183"/>
      <c r="X170" s="125"/>
      <c r="Y170" s="125"/>
      <c r="Z170" s="125"/>
      <c r="AA170" s="139"/>
      <c r="AB170" s="123">
        <f>SUM(표3[[#This Row],[1월]:[12월]])</f>
        <v>0</v>
      </c>
      <c r="AC170" s="140"/>
    </row>
    <row r="171" spans="7:29" ht="21" customHeight="1" x14ac:dyDescent="0.3">
      <c r="G171" s="141"/>
      <c r="H171" s="120"/>
      <c r="I171" s="124"/>
      <c r="J171" s="125"/>
      <c r="K171" s="125"/>
      <c r="L171" s="136">
        <f>표3[[#This Row],[발생연차]]+표3[[#This Row],[추가]]-표3[[#This Row],[공제]]</f>
        <v>0</v>
      </c>
      <c r="M171" s="121"/>
      <c r="N171" s="122"/>
      <c r="O171" s="144">
        <f>표3[[#This Row],[총연차]]-표3[[#This Row],[사용분]]-표3[[#This Row],[연차수당분]]</f>
        <v>0</v>
      </c>
      <c r="P171" s="120"/>
      <c r="Q171" s="125"/>
      <c r="R171" s="125"/>
      <c r="S171" s="125"/>
      <c r="T171" s="125"/>
      <c r="U171" s="125"/>
      <c r="V171" s="125"/>
      <c r="W171" s="183"/>
      <c r="X171" s="125"/>
      <c r="Y171" s="125"/>
      <c r="Z171" s="125"/>
      <c r="AA171" s="139"/>
      <c r="AB171" s="123">
        <f>SUM(표3[[#This Row],[1월]:[12월]])</f>
        <v>0</v>
      </c>
      <c r="AC171" s="140"/>
    </row>
    <row r="172" spans="7:29" ht="21" customHeight="1" x14ac:dyDescent="0.3">
      <c r="G172" s="141"/>
      <c r="H172" s="120"/>
      <c r="I172" s="124"/>
      <c r="J172" s="125"/>
      <c r="K172" s="125"/>
      <c r="L172" s="136">
        <f>표3[[#This Row],[발생연차]]+표3[[#This Row],[추가]]-표3[[#This Row],[공제]]</f>
        <v>0</v>
      </c>
      <c r="M172" s="121"/>
      <c r="N172" s="122"/>
      <c r="O172" s="144">
        <f>표3[[#This Row],[총연차]]-표3[[#This Row],[사용분]]-표3[[#This Row],[연차수당분]]</f>
        <v>0</v>
      </c>
      <c r="P172" s="120"/>
      <c r="Q172" s="125"/>
      <c r="R172" s="125"/>
      <c r="S172" s="125"/>
      <c r="T172" s="125"/>
      <c r="U172" s="125"/>
      <c r="V172" s="125"/>
      <c r="W172" s="183"/>
      <c r="X172" s="125"/>
      <c r="Y172" s="125"/>
      <c r="Z172" s="125"/>
      <c r="AA172" s="139"/>
      <c r="AB172" s="123">
        <f>SUM(표3[[#This Row],[1월]:[12월]])</f>
        <v>0</v>
      </c>
      <c r="AC172" s="140"/>
    </row>
    <row r="173" spans="7:29" ht="21" customHeight="1" x14ac:dyDescent="0.3">
      <c r="G173" s="141"/>
      <c r="H173" s="120"/>
      <c r="I173" s="124"/>
      <c r="J173" s="125"/>
      <c r="K173" s="125"/>
      <c r="L173" s="136">
        <f>표3[[#This Row],[발생연차]]+표3[[#This Row],[추가]]-표3[[#This Row],[공제]]</f>
        <v>0</v>
      </c>
      <c r="M173" s="121"/>
      <c r="N173" s="122"/>
      <c r="O173" s="144">
        <f>표3[[#This Row],[총연차]]-표3[[#This Row],[사용분]]-표3[[#This Row],[연차수당분]]</f>
        <v>0</v>
      </c>
      <c r="P173" s="120"/>
      <c r="Q173" s="125"/>
      <c r="R173" s="125"/>
      <c r="S173" s="125"/>
      <c r="T173" s="125"/>
      <c r="U173" s="125"/>
      <c r="V173" s="125"/>
      <c r="W173" s="183"/>
      <c r="X173" s="125"/>
      <c r="Y173" s="125"/>
      <c r="Z173" s="125"/>
      <c r="AA173" s="139"/>
      <c r="AB173" s="123">
        <f>SUM(표3[[#This Row],[1월]:[12월]])</f>
        <v>0</v>
      </c>
      <c r="AC173" s="140"/>
    </row>
    <row r="174" spans="7:29" ht="21" customHeight="1" x14ac:dyDescent="0.3">
      <c r="G174" s="141"/>
      <c r="H174" s="120"/>
      <c r="I174" s="124"/>
      <c r="J174" s="125"/>
      <c r="K174" s="125"/>
      <c r="L174" s="136">
        <f>표3[[#This Row],[발생연차]]+표3[[#This Row],[추가]]-표3[[#This Row],[공제]]</f>
        <v>0</v>
      </c>
      <c r="M174" s="121"/>
      <c r="N174" s="122"/>
      <c r="O174" s="144">
        <f>표3[[#This Row],[총연차]]-표3[[#This Row],[사용분]]-표3[[#This Row],[연차수당분]]</f>
        <v>0</v>
      </c>
      <c r="P174" s="120"/>
      <c r="Q174" s="125"/>
      <c r="R174" s="125"/>
      <c r="S174" s="125"/>
      <c r="T174" s="125"/>
      <c r="U174" s="125"/>
      <c r="V174" s="125"/>
      <c r="W174" s="183"/>
      <c r="X174" s="125"/>
      <c r="Y174" s="125"/>
      <c r="Z174" s="125"/>
      <c r="AA174" s="139"/>
      <c r="AB174" s="123">
        <f>SUM(표3[[#This Row],[1월]:[12월]])</f>
        <v>0</v>
      </c>
      <c r="AC174" s="140"/>
    </row>
    <row r="175" spans="7:29" ht="21" customHeight="1" x14ac:dyDescent="0.3">
      <c r="G175" s="141"/>
      <c r="H175" s="120"/>
      <c r="I175" s="124"/>
      <c r="J175" s="125"/>
      <c r="K175" s="125"/>
      <c r="L175" s="136">
        <f>표3[[#This Row],[발생연차]]+표3[[#This Row],[추가]]-표3[[#This Row],[공제]]</f>
        <v>0</v>
      </c>
      <c r="M175" s="121"/>
      <c r="N175" s="122"/>
      <c r="O175" s="144">
        <f>표3[[#This Row],[총연차]]-표3[[#This Row],[사용분]]-표3[[#This Row],[연차수당분]]</f>
        <v>0</v>
      </c>
      <c r="P175" s="120"/>
      <c r="Q175" s="125"/>
      <c r="R175" s="125"/>
      <c r="S175" s="125"/>
      <c r="T175" s="125"/>
      <c r="U175" s="125"/>
      <c r="V175" s="125"/>
      <c r="W175" s="183"/>
      <c r="X175" s="125"/>
      <c r="Y175" s="125"/>
      <c r="Z175" s="125"/>
      <c r="AA175" s="139"/>
      <c r="AB175" s="123">
        <f>SUM(표3[[#This Row],[1월]:[12월]])</f>
        <v>0</v>
      </c>
      <c r="AC175" s="140"/>
    </row>
    <row r="176" spans="7:29" ht="21" customHeight="1" x14ac:dyDescent="0.3">
      <c r="G176" s="141"/>
      <c r="H176" s="120"/>
      <c r="I176" s="124"/>
      <c r="J176" s="125"/>
      <c r="K176" s="125"/>
      <c r="L176" s="136">
        <f>표3[[#This Row],[발생연차]]+표3[[#This Row],[추가]]-표3[[#This Row],[공제]]</f>
        <v>0</v>
      </c>
      <c r="M176" s="121"/>
      <c r="N176" s="122"/>
      <c r="O176" s="144">
        <f>표3[[#This Row],[총연차]]-표3[[#This Row],[사용분]]-표3[[#This Row],[연차수당분]]</f>
        <v>0</v>
      </c>
      <c r="P176" s="120"/>
      <c r="Q176" s="125"/>
      <c r="R176" s="125"/>
      <c r="S176" s="125"/>
      <c r="T176" s="125"/>
      <c r="U176" s="125"/>
      <c r="V176" s="125"/>
      <c r="W176" s="183"/>
      <c r="X176" s="125"/>
      <c r="Y176" s="125"/>
      <c r="Z176" s="125"/>
      <c r="AA176" s="139"/>
      <c r="AB176" s="123">
        <f>SUM(표3[[#This Row],[1월]:[12월]])</f>
        <v>0</v>
      </c>
      <c r="AC176" s="140"/>
    </row>
    <row r="177" spans="7:29" ht="21" customHeight="1" x14ac:dyDescent="0.3">
      <c r="G177" s="141"/>
      <c r="H177" s="120"/>
      <c r="I177" s="124"/>
      <c r="J177" s="125"/>
      <c r="K177" s="125"/>
      <c r="L177" s="136">
        <f>표3[[#This Row],[발생연차]]+표3[[#This Row],[추가]]-표3[[#This Row],[공제]]</f>
        <v>0</v>
      </c>
      <c r="M177" s="121"/>
      <c r="N177" s="122"/>
      <c r="O177" s="144">
        <f>표3[[#This Row],[총연차]]-표3[[#This Row],[사용분]]-표3[[#This Row],[연차수당분]]</f>
        <v>0</v>
      </c>
      <c r="P177" s="120"/>
      <c r="Q177" s="125"/>
      <c r="R177" s="125"/>
      <c r="S177" s="125"/>
      <c r="T177" s="125"/>
      <c r="U177" s="125"/>
      <c r="V177" s="125"/>
      <c r="W177" s="183"/>
      <c r="X177" s="125"/>
      <c r="Y177" s="125"/>
      <c r="Z177" s="125"/>
      <c r="AA177" s="139"/>
      <c r="AB177" s="123">
        <f>SUM(표3[[#This Row],[1월]:[12월]])</f>
        <v>0</v>
      </c>
      <c r="AC177" s="140"/>
    </row>
    <row r="178" spans="7:29" ht="21" customHeight="1" x14ac:dyDescent="0.3">
      <c r="G178" s="141"/>
      <c r="H178" s="120"/>
      <c r="I178" s="124"/>
      <c r="J178" s="125"/>
      <c r="K178" s="125"/>
      <c r="L178" s="136">
        <f>표3[[#This Row],[발생연차]]+표3[[#This Row],[추가]]-표3[[#This Row],[공제]]</f>
        <v>0</v>
      </c>
      <c r="M178" s="121"/>
      <c r="N178" s="122"/>
      <c r="O178" s="144">
        <f>표3[[#This Row],[총연차]]-표3[[#This Row],[사용분]]-표3[[#This Row],[연차수당분]]</f>
        <v>0</v>
      </c>
      <c r="P178" s="120"/>
      <c r="Q178" s="125"/>
      <c r="R178" s="125"/>
      <c r="S178" s="125"/>
      <c r="T178" s="125"/>
      <c r="U178" s="125"/>
      <c r="V178" s="125"/>
      <c r="W178" s="183"/>
      <c r="X178" s="125"/>
      <c r="Y178" s="125"/>
      <c r="Z178" s="125"/>
      <c r="AA178" s="139"/>
      <c r="AB178" s="123">
        <f>SUM(표3[[#This Row],[1월]:[12월]])</f>
        <v>0</v>
      </c>
      <c r="AC178" s="140"/>
    </row>
    <row r="179" spans="7:29" ht="21" customHeight="1" x14ac:dyDescent="0.3">
      <c r="G179" s="141"/>
      <c r="H179" s="120"/>
      <c r="I179" s="124"/>
      <c r="J179" s="125"/>
      <c r="K179" s="125"/>
      <c r="L179" s="136">
        <f>표3[[#This Row],[발생연차]]+표3[[#This Row],[추가]]-표3[[#This Row],[공제]]</f>
        <v>0</v>
      </c>
      <c r="M179" s="121"/>
      <c r="N179" s="122"/>
      <c r="O179" s="144">
        <f>표3[[#This Row],[총연차]]-표3[[#This Row],[사용분]]-표3[[#This Row],[연차수당분]]</f>
        <v>0</v>
      </c>
      <c r="P179" s="120"/>
      <c r="Q179" s="125"/>
      <c r="R179" s="125"/>
      <c r="S179" s="125"/>
      <c r="T179" s="125"/>
      <c r="U179" s="125"/>
      <c r="V179" s="125"/>
      <c r="W179" s="183"/>
      <c r="X179" s="125"/>
      <c r="Y179" s="125"/>
      <c r="Z179" s="125"/>
      <c r="AA179" s="139"/>
      <c r="AB179" s="123">
        <f>SUM(표3[[#This Row],[1월]:[12월]])</f>
        <v>0</v>
      </c>
      <c r="AC179" s="140"/>
    </row>
    <row r="180" spans="7:29" ht="21" customHeight="1" x14ac:dyDescent="0.3">
      <c r="G180" s="141"/>
      <c r="H180" s="120"/>
      <c r="I180" s="124"/>
      <c r="J180" s="125"/>
      <c r="K180" s="125"/>
      <c r="L180" s="136">
        <f>표3[[#This Row],[발생연차]]+표3[[#This Row],[추가]]-표3[[#This Row],[공제]]</f>
        <v>0</v>
      </c>
      <c r="M180" s="121"/>
      <c r="N180" s="122"/>
      <c r="O180" s="144">
        <f>표3[[#This Row],[총연차]]-표3[[#This Row],[사용분]]-표3[[#This Row],[연차수당분]]</f>
        <v>0</v>
      </c>
      <c r="P180" s="120"/>
      <c r="Q180" s="125"/>
      <c r="R180" s="125"/>
      <c r="S180" s="125"/>
      <c r="T180" s="125"/>
      <c r="U180" s="125"/>
      <c r="V180" s="125"/>
      <c r="W180" s="183"/>
      <c r="X180" s="125"/>
      <c r="Y180" s="125"/>
      <c r="Z180" s="125"/>
      <c r="AA180" s="139"/>
      <c r="AB180" s="123">
        <f>SUM(표3[[#This Row],[1월]:[12월]])</f>
        <v>0</v>
      </c>
      <c r="AC180" s="140"/>
    </row>
    <row r="181" spans="7:29" ht="21" customHeight="1" x14ac:dyDescent="0.3">
      <c r="G181" s="141"/>
      <c r="H181" s="120"/>
      <c r="I181" s="124"/>
      <c r="J181" s="125"/>
      <c r="K181" s="125"/>
      <c r="L181" s="136">
        <f>표3[[#This Row],[발생연차]]+표3[[#This Row],[추가]]-표3[[#This Row],[공제]]</f>
        <v>0</v>
      </c>
      <c r="M181" s="121"/>
      <c r="N181" s="122"/>
      <c r="O181" s="144">
        <f>표3[[#This Row],[총연차]]-표3[[#This Row],[사용분]]-표3[[#This Row],[연차수당분]]</f>
        <v>0</v>
      </c>
      <c r="P181" s="120"/>
      <c r="Q181" s="125"/>
      <c r="R181" s="125"/>
      <c r="S181" s="125"/>
      <c r="T181" s="125"/>
      <c r="U181" s="125"/>
      <c r="V181" s="125"/>
      <c r="W181" s="183"/>
      <c r="X181" s="125"/>
      <c r="Y181" s="125"/>
      <c r="Z181" s="125"/>
      <c r="AA181" s="139"/>
      <c r="AB181" s="123">
        <f>SUM(표3[[#This Row],[1월]:[12월]])</f>
        <v>0</v>
      </c>
      <c r="AC181" s="140"/>
    </row>
    <row r="182" spans="7:29" ht="21" customHeight="1" x14ac:dyDescent="0.3">
      <c r="G182" s="141"/>
      <c r="H182" s="120"/>
      <c r="I182" s="124"/>
      <c r="J182" s="125"/>
      <c r="K182" s="125"/>
      <c r="L182" s="136">
        <f>표3[[#This Row],[발생연차]]+표3[[#This Row],[추가]]-표3[[#This Row],[공제]]</f>
        <v>0</v>
      </c>
      <c r="M182" s="121"/>
      <c r="N182" s="122"/>
      <c r="O182" s="144">
        <f>표3[[#This Row],[총연차]]-표3[[#This Row],[사용분]]-표3[[#This Row],[연차수당분]]</f>
        <v>0</v>
      </c>
      <c r="P182" s="120"/>
      <c r="Q182" s="125"/>
      <c r="R182" s="125"/>
      <c r="S182" s="125"/>
      <c r="T182" s="125"/>
      <c r="U182" s="125"/>
      <c r="V182" s="125"/>
      <c r="W182" s="183"/>
      <c r="X182" s="125"/>
      <c r="Y182" s="125"/>
      <c r="Z182" s="125"/>
      <c r="AA182" s="139"/>
      <c r="AB182" s="123">
        <f>SUM(표3[[#This Row],[1월]:[12월]])</f>
        <v>0</v>
      </c>
      <c r="AC182" s="140"/>
    </row>
    <row r="183" spans="7:29" ht="21" customHeight="1" x14ac:dyDescent="0.3">
      <c r="G183" s="141"/>
      <c r="H183" s="120"/>
      <c r="I183" s="124"/>
      <c r="J183" s="125"/>
      <c r="K183" s="125"/>
      <c r="L183" s="136">
        <f>표3[[#This Row],[발생연차]]+표3[[#This Row],[추가]]-표3[[#This Row],[공제]]</f>
        <v>0</v>
      </c>
      <c r="M183" s="121"/>
      <c r="N183" s="122"/>
      <c r="O183" s="144">
        <f>표3[[#This Row],[총연차]]-표3[[#This Row],[사용분]]-표3[[#This Row],[연차수당분]]</f>
        <v>0</v>
      </c>
      <c r="P183" s="120"/>
      <c r="Q183" s="125"/>
      <c r="R183" s="125"/>
      <c r="S183" s="125"/>
      <c r="T183" s="125"/>
      <c r="U183" s="125"/>
      <c r="V183" s="125"/>
      <c r="W183" s="183"/>
      <c r="X183" s="125"/>
      <c r="Y183" s="125"/>
      <c r="Z183" s="125"/>
      <c r="AA183" s="139"/>
      <c r="AB183" s="123">
        <f>SUM(표3[[#This Row],[1월]:[12월]])</f>
        <v>0</v>
      </c>
      <c r="AC183" s="140"/>
    </row>
    <row r="184" spans="7:29" ht="21" customHeight="1" x14ac:dyDescent="0.3">
      <c r="G184" s="141"/>
      <c r="H184" s="120"/>
      <c r="I184" s="124"/>
      <c r="J184" s="125"/>
      <c r="K184" s="125"/>
      <c r="L184" s="136">
        <f>표3[[#This Row],[발생연차]]+표3[[#This Row],[추가]]-표3[[#This Row],[공제]]</f>
        <v>0</v>
      </c>
      <c r="M184" s="121"/>
      <c r="N184" s="122"/>
      <c r="O184" s="144">
        <f>표3[[#This Row],[총연차]]-표3[[#This Row],[사용분]]-표3[[#This Row],[연차수당분]]</f>
        <v>0</v>
      </c>
      <c r="P184" s="120"/>
      <c r="Q184" s="125"/>
      <c r="R184" s="125"/>
      <c r="S184" s="125"/>
      <c r="T184" s="125"/>
      <c r="U184" s="125"/>
      <c r="V184" s="125"/>
      <c r="W184" s="183"/>
      <c r="X184" s="125"/>
      <c r="Y184" s="125"/>
      <c r="Z184" s="125"/>
      <c r="AA184" s="139"/>
      <c r="AB184" s="123">
        <f>SUM(표3[[#This Row],[1월]:[12월]])</f>
        <v>0</v>
      </c>
      <c r="AC184" s="140"/>
    </row>
    <row r="185" spans="7:29" ht="21" customHeight="1" x14ac:dyDescent="0.3">
      <c r="G185" s="141"/>
      <c r="H185" s="120"/>
      <c r="I185" s="124"/>
      <c r="J185" s="125"/>
      <c r="K185" s="125"/>
      <c r="L185" s="136">
        <f>표3[[#This Row],[발생연차]]+표3[[#This Row],[추가]]-표3[[#This Row],[공제]]</f>
        <v>0</v>
      </c>
      <c r="M185" s="121"/>
      <c r="N185" s="122"/>
      <c r="O185" s="144">
        <f>표3[[#This Row],[총연차]]-표3[[#This Row],[사용분]]-표3[[#This Row],[연차수당분]]</f>
        <v>0</v>
      </c>
      <c r="P185" s="120"/>
      <c r="Q185" s="125"/>
      <c r="R185" s="125"/>
      <c r="S185" s="125"/>
      <c r="T185" s="125"/>
      <c r="U185" s="125"/>
      <c r="V185" s="125"/>
      <c r="W185" s="183"/>
      <c r="X185" s="125"/>
      <c r="Y185" s="125"/>
      <c r="Z185" s="125"/>
      <c r="AA185" s="139"/>
      <c r="AB185" s="123">
        <f>SUM(표3[[#This Row],[1월]:[12월]])</f>
        <v>0</v>
      </c>
      <c r="AC185" s="140"/>
    </row>
    <row r="186" spans="7:29" ht="21" customHeight="1" x14ac:dyDescent="0.3">
      <c r="G186" s="141"/>
      <c r="H186" s="120"/>
      <c r="I186" s="124"/>
      <c r="J186" s="125"/>
      <c r="K186" s="125"/>
      <c r="L186" s="136">
        <f>표3[[#This Row],[발생연차]]+표3[[#This Row],[추가]]-표3[[#This Row],[공제]]</f>
        <v>0</v>
      </c>
      <c r="M186" s="121"/>
      <c r="N186" s="122"/>
      <c r="O186" s="144">
        <f>표3[[#This Row],[총연차]]-표3[[#This Row],[사용분]]-표3[[#This Row],[연차수당분]]</f>
        <v>0</v>
      </c>
      <c r="P186" s="120"/>
      <c r="Q186" s="125"/>
      <c r="R186" s="125"/>
      <c r="S186" s="125"/>
      <c r="T186" s="125"/>
      <c r="U186" s="125"/>
      <c r="V186" s="125"/>
      <c r="W186" s="183"/>
      <c r="X186" s="125"/>
      <c r="Y186" s="125"/>
      <c r="Z186" s="125"/>
      <c r="AA186" s="139"/>
      <c r="AB186" s="123">
        <f>SUM(표3[[#This Row],[1월]:[12월]])</f>
        <v>0</v>
      </c>
      <c r="AC186" s="140"/>
    </row>
    <row r="187" spans="7:29" ht="21" customHeight="1" x14ac:dyDescent="0.3">
      <c r="G187" s="141"/>
      <c r="H187" s="120"/>
      <c r="I187" s="124"/>
      <c r="J187" s="125"/>
      <c r="K187" s="125"/>
      <c r="L187" s="136">
        <f>표3[[#This Row],[발생연차]]+표3[[#This Row],[추가]]-표3[[#This Row],[공제]]</f>
        <v>0</v>
      </c>
      <c r="M187" s="121"/>
      <c r="N187" s="122"/>
      <c r="O187" s="144">
        <f>표3[[#This Row],[총연차]]-표3[[#This Row],[사용분]]-표3[[#This Row],[연차수당분]]</f>
        <v>0</v>
      </c>
      <c r="P187" s="120"/>
      <c r="Q187" s="125"/>
      <c r="R187" s="125"/>
      <c r="S187" s="125"/>
      <c r="T187" s="125"/>
      <c r="U187" s="125"/>
      <c r="V187" s="125"/>
      <c r="W187" s="183"/>
      <c r="X187" s="125"/>
      <c r="Y187" s="125"/>
      <c r="Z187" s="125"/>
      <c r="AA187" s="139"/>
      <c r="AB187" s="123">
        <f>SUM(표3[[#This Row],[1월]:[12월]])</f>
        <v>0</v>
      </c>
      <c r="AC187" s="140"/>
    </row>
    <row r="188" spans="7:29" ht="21" customHeight="1" x14ac:dyDescent="0.3">
      <c r="G188" s="141"/>
      <c r="H188" s="120"/>
      <c r="I188" s="124"/>
      <c r="J188" s="125"/>
      <c r="K188" s="125"/>
      <c r="L188" s="136">
        <f>표3[[#This Row],[발생연차]]+표3[[#This Row],[추가]]-표3[[#This Row],[공제]]</f>
        <v>0</v>
      </c>
      <c r="M188" s="121"/>
      <c r="N188" s="122"/>
      <c r="O188" s="144">
        <f>표3[[#This Row],[총연차]]-표3[[#This Row],[사용분]]-표3[[#This Row],[연차수당분]]</f>
        <v>0</v>
      </c>
      <c r="P188" s="120"/>
      <c r="Q188" s="125"/>
      <c r="R188" s="125"/>
      <c r="S188" s="125"/>
      <c r="T188" s="125"/>
      <c r="U188" s="125"/>
      <c r="V188" s="125"/>
      <c r="W188" s="183"/>
      <c r="X188" s="125"/>
      <c r="Y188" s="125"/>
      <c r="Z188" s="125"/>
      <c r="AA188" s="139"/>
      <c r="AB188" s="123">
        <f>SUM(표3[[#This Row],[1월]:[12월]])</f>
        <v>0</v>
      </c>
      <c r="AC188" s="140"/>
    </row>
    <row r="189" spans="7:29" ht="21" customHeight="1" x14ac:dyDescent="0.3">
      <c r="G189" s="141"/>
      <c r="H189" s="120"/>
      <c r="I189" s="124"/>
      <c r="J189" s="125"/>
      <c r="K189" s="125"/>
      <c r="L189" s="136">
        <f>표3[[#This Row],[발생연차]]+표3[[#This Row],[추가]]-표3[[#This Row],[공제]]</f>
        <v>0</v>
      </c>
      <c r="M189" s="121"/>
      <c r="N189" s="122"/>
      <c r="O189" s="144">
        <f>표3[[#This Row],[총연차]]-표3[[#This Row],[사용분]]-표3[[#This Row],[연차수당분]]</f>
        <v>0</v>
      </c>
      <c r="P189" s="120"/>
      <c r="Q189" s="125"/>
      <c r="R189" s="125"/>
      <c r="S189" s="125"/>
      <c r="T189" s="125"/>
      <c r="U189" s="125"/>
      <c r="V189" s="125"/>
      <c r="W189" s="183"/>
      <c r="X189" s="125"/>
      <c r="Y189" s="125"/>
      <c r="Z189" s="125"/>
      <c r="AA189" s="139"/>
      <c r="AB189" s="123">
        <f>SUM(표3[[#This Row],[1월]:[12월]])</f>
        <v>0</v>
      </c>
      <c r="AC189" s="140"/>
    </row>
    <row r="190" spans="7:29" ht="21" customHeight="1" x14ac:dyDescent="0.3">
      <c r="G190" s="141"/>
      <c r="H190" s="120"/>
      <c r="I190" s="124"/>
      <c r="J190" s="125"/>
      <c r="K190" s="125"/>
      <c r="L190" s="136">
        <f>표3[[#This Row],[발생연차]]+표3[[#This Row],[추가]]-표3[[#This Row],[공제]]</f>
        <v>0</v>
      </c>
      <c r="M190" s="121"/>
      <c r="N190" s="122"/>
      <c r="O190" s="144">
        <f>표3[[#This Row],[총연차]]-표3[[#This Row],[사용분]]-표3[[#This Row],[연차수당분]]</f>
        <v>0</v>
      </c>
      <c r="P190" s="120"/>
      <c r="Q190" s="125"/>
      <c r="R190" s="125"/>
      <c r="S190" s="125"/>
      <c r="T190" s="125"/>
      <c r="U190" s="125"/>
      <c r="V190" s="125"/>
      <c r="W190" s="183"/>
      <c r="X190" s="125"/>
      <c r="Y190" s="125"/>
      <c r="Z190" s="125"/>
      <c r="AA190" s="139"/>
      <c r="AB190" s="123">
        <f>SUM(표3[[#This Row],[1월]:[12월]])</f>
        <v>0</v>
      </c>
      <c r="AC190" s="140"/>
    </row>
    <row r="191" spans="7:29" ht="21" customHeight="1" x14ac:dyDescent="0.3">
      <c r="G191" s="141"/>
      <c r="H191" s="120"/>
      <c r="I191" s="124"/>
      <c r="J191" s="125"/>
      <c r="K191" s="125"/>
      <c r="L191" s="136">
        <f>표3[[#This Row],[발생연차]]+표3[[#This Row],[추가]]-표3[[#This Row],[공제]]</f>
        <v>0</v>
      </c>
      <c r="M191" s="121"/>
      <c r="N191" s="122"/>
      <c r="O191" s="144">
        <f>표3[[#This Row],[총연차]]-표3[[#This Row],[사용분]]-표3[[#This Row],[연차수당분]]</f>
        <v>0</v>
      </c>
      <c r="P191" s="120"/>
      <c r="Q191" s="125"/>
      <c r="R191" s="125"/>
      <c r="S191" s="125"/>
      <c r="T191" s="125"/>
      <c r="U191" s="125"/>
      <c r="V191" s="125"/>
      <c r="W191" s="183"/>
      <c r="X191" s="125"/>
      <c r="Y191" s="125"/>
      <c r="Z191" s="125"/>
      <c r="AA191" s="139"/>
      <c r="AB191" s="123">
        <f>SUM(표3[[#This Row],[1월]:[12월]])</f>
        <v>0</v>
      </c>
      <c r="AC191" s="140"/>
    </row>
    <row r="192" spans="7:29" ht="21" customHeight="1" x14ac:dyDescent="0.3">
      <c r="G192" s="141"/>
      <c r="H192" s="120"/>
      <c r="I192" s="124"/>
      <c r="J192" s="125"/>
      <c r="K192" s="125"/>
      <c r="L192" s="136">
        <f>표3[[#This Row],[발생연차]]+표3[[#This Row],[추가]]-표3[[#This Row],[공제]]</f>
        <v>0</v>
      </c>
      <c r="M192" s="121"/>
      <c r="N192" s="122"/>
      <c r="O192" s="144">
        <f>표3[[#This Row],[총연차]]-표3[[#This Row],[사용분]]-표3[[#This Row],[연차수당분]]</f>
        <v>0</v>
      </c>
      <c r="P192" s="120"/>
      <c r="Q192" s="125"/>
      <c r="R192" s="125"/>
      <c r="S192" s="125"/>
      <c r="T192" s="125"/>
      <c r="U192" s="125"/>
      <c r="V192" s="125"/>
      <c r="W192" s="183"/>
      <c r="X192" s="125"/>
      <c r="Y192" s="125"/>
      <c r="Z192" s="125"/>
      <c r="AA192" s="139"/>
      <c r="AB192" s="123">
        <f>SUM(표3[[#This Row],[1월]:[12월]])</f>
        <v>0</v>
      </c>
      <c r="AC192" s="140"/>
    </row>
    <row r="193" spans="7:29" ht="21" customHeight="1" x14ac:dyDescent="0.3">
      <c r="G193" s="141"/>
      <c r="H193" s="120"/>
      <c r="I193" s="124"/>
      <c r="J193" s="125"/>
      <c r="K193" s="125"/>
      <c r="L193" s="136">
        <f>표3[[#This Row],[발생연차]]+표3[[#This Row],[추가]]-표3[[#This Row],[공제]]</f>
        <v>0</v>
      </c>
      <c r="M193" s="121"/>
      <c r="N193" s="122"/>
      <c r="O193" s="144">
        <f>표3[[#This Row],[총연차]]-표3[[#This Row],[사용분]]-표3[[#This Row],[연차수당분]]</f>
        <v>0</v>
      </c>
      <c r="P193" s="120"/>
      <c r="Q193" s="125"/>
      <c r="R193" s="125"/>
      <c r="S193" s="125"/>
      <c r="T193" s="125"/>
      <c r="U193" s="125"/>
      <c r="V193" s="125"/>
      <c r="W193" s="183"/>
      <c r="X193" s="125"/>
      <c r="Y193" s="125"/>
      <c r="Z193" s="125"/>
      <c r="AA193" s="139"/>
      <c r="AB193" s="123">
        <f>SUM(표3[[#This Row],[1월]:[12월]])</f>
        <v>0</v>
      </c>
      <c r="AC193" s="140"/>
    </row>
    <row r="194" spans="7:29" ht="21" customHeight="1" x14ac:dyDescent="0.3">
      <c r="G194" s="141"/>
      <c r="H194" s="120"/>
      <c r="I194" s="124"/>
      <c r="J194" s="125"/>
      <c r="K194" s="125"/>
      <c r="L194" s="136">
        <f>표3[[#This Row],[발생연차]]+표3[[#This Row],[추가]]-표3[[#This Row],[공제]]</f>
        <v>0</v>
      </c>
      <c r="M194" s="121"/>
      <c r="N194" s="122"/>
      <c r="O194" s="144">
        <f>표3[[#This Row],[총연차]]-표3[[#This Row],[사용분]]-표3[[#This Row],[연차수당분]]</f>
        <v>0</v>
      </c>
      <c r="P194" s="120"/>
      <c r="Q194" s="125"/>
      <c r="R194" s="125"/>
      <c r="S194" s="125"/>
      <c r="T194" s="125"/>
      <c r="U194" s="125"/>
      <c r="V194" s="125"/>
      <c r="W194" s="183"/>
      <c r="X194" s="125"/>
      <c r="Y194" s="125"/>
      <c r="Z194" s="125"/>
      <c r="AA194" s="139"/>
      <c r="AB194" s="123">
        <f>SUM(표3[[#This Row],[1월]:[12월]])</f>
        <v>0</v>
      </c>
      <c r="AC194" s="140"/>
    </row>
    <row r="195" spans="7:29" ht="21" customHeight="1" x14ac:dyDescent="0.3">
      <c r="G195" s="141"/>
      <c r="H195" s="120"/>
      <c r="I195" s="124"/>
      <c r="J195" s="125"/>
      <c r="K195" s="125"/>
      <c r="L195" s="136">
        <f>표3[[#This Row],[발생연차]]+표3[[#This Row],[추가]]-표3[[#This Row],[공제]]</f>
        <v>0</v>
      </c>
      <c r="M195" s="121"/>
      <c r="N195" s="122"/>
      <c r="O195" s="144">
        <f>표3[[#This Row],[총연차]]-표3[[#This Row],[사용분]]-표3[[#This Row],[연차수당분]]</f>
        <v>0</v>
      </c>
      <c r="P195" s="120"/>
      <c r="Q195" s="125"/>
      <c r="R195" s="125"/>
      <c r="S195" s="125"/>
      <c r="T195" s="125"/>
      <c r="U195" s="125"/>
      <c r="V195" s="125"/>
      <c r="W195" s="183"/>
      <c r="X195" s="125"/>
      <c r="Y195" s="125"/>
      <c r="Z195" s="125"/>
      <c r="AA195" s="139"/>
      <c r="AB195" s="123">
        <f>SUM(표3[[#This Row],[1월]:[12월]])</f>
        <v>0</v>
      </c>
      <c r="AC195" s="140"/>
    </row>
    <row r="196" spans="7:29" ht="21" customHeight="1" x14ac:dyDescent="0.3">
      <c r="G196" s="141"/>
      <c r="H196" s="120"/>
      <c r="I196" s="124"/>
      <c r="J196" s="125"/>
      <c r="K196" s="125"/>
      <c r="L196" s="136">
        <f>표3[[#This Row],[발생연차]]+표3[[#This Row],[추가]]-표3[[#This Row],[공제]]</f>
        <v>0</v>
      </c>
      <c r="M196" s="121"/>
      <c r="N196" s="122"/>
      <c r="O196" s="144">
        <f>표3[[#This Row],[총연차]]-표3[[#This Row],[사용분]]-표3[[#This Row],[연차수당분]]</f>
        <v>0</v>
      </c>
      <c r="P196" s="120"/>
      <c r="Q196" s="125"/>
      <c r="R196" s="125"/>
      <c r="S196" s="125"/>
      <c r="T196" s="125"/>
      <c r="U196" s="125"/>
      <c r="V196" s="125"/>
      <c r="W196" s="183"/>
      <c r="X196" s="125"/>
      <c r="Y196" s="125"/>
      <c r="Z196" s="125"/>
      <c r="AA196" s="139"/>
      <c r="AB196" s="123">
        <f>SUM(표3[[#This Row],[1월]:[12월]])</f>
        <v>0</v>
      </c>
      <c r="AC196" s="140"/>
    </row>
    <row r="197" spans="7:29" ht="21" customHeight="1" x14ac:dyDescent="0.3">
      <c r="G197" s="141"/>
      <c r="H197" s="120"/>
      <c r="I197" s="124"/>
      <c r="J197" s="125"/>
      <c r="K197" s="125"/>
      <c r="L197" s="136">
        <f>표3[[#This Row],[발생연차]]+표3[[#This Row],[추가]]-표3[[#This Row],[공제]]</f>
        <v>0</v>
      </c>
      <c r="M197" s="121"/>
      <c r="N197" s="122"/>
      <c r="O197" s="144">
        <f>표3[[#This Row],[총연차]]-표3[[#This Row],[사용분]]-표3[[#This Row],[연차수당분]]</f>
        <v>0</v>
      </c>
      <c r="P197" s="120"/>
      <c r="Q197" s="125"/>
      <c r="R197" s="125"/>
      <c r="S197" s="125"/>
      <c r="T197" s="125"/>
      <c r="U197" s="125"/>
      <c r="V197" s="125"/>
      <c r="W197" s="183"/>
      <c r="X197" s="125"/>
      <c r="Y197" s="125"/>
      <c r="Z197" s="125"/>
      <c r="AA197" s="139"/>
      <c r="AB197" s="123">
        <f>SUM(표3[[#This Row],[1월]:[12월]])</f>
        <v>0</v>
      </c>
      <c r="AC197" s="140"/>
    </row>
    <row r="198" spans="7:29" ht="21" customHeight="1" x14ac:dyDescent="0.3">
      <c r="G198" s="141"/>
      <c r="H198" s="120"/>
      <c r="I198" s="124"/>
      <c r="J198" s="125"/>
      <c r="K198" s="125"/>
      <c r="L198" s="136">
        <f>표3[[#This Row],[발생연차]]+표3[[#This Row],[추가]]-표3[[#This Row],[공제]]</f>
        <v>0</v>
      </c>
      <c r="M198" s="121"/>
      <c r="N198" s="122"/>
      <c r="O198" s="144">
        <f>표3[[#This Row],[총연차]]-표3[[#This Row],[사용분]]-표3[[#This Row],[연차수당분]]</f>
        <v>0</v>
      </c>
      <c r="P198" s="120"/>
      <c r="Q198" s="125"/>
      <c r="R198" s="125"/>
      <c r="S198" s="125"/>
      <c r="T198" s="125"/>
      <c r="U198" s="125"/>
      <c r="V198" s="125"/>
      <c r="W198" s="183"/>
      <c r="X198" s="125"/>
      <c r="Y198" s="125"/>
      <c r="Z198" s="125"/>
      <c r="AA198" s="139"/>
      <c r="AB198" s="123">
        <f>SUM(표3[[#This Row],[1월]:[12월]])</f>
        <v>0</v>
      </c>
      <c r="AC198" s="140"/>
    </row>
    <row r="199" spans="7:29" ht="21" customHeight="1" x14ac:dyDescent="0.3">
      <c r="G199" s="141"/>
      <c r="H199" s="120"/>
      <c r="I199" s="124"/>
      <c r="J199" s="125"/>
      <c r="K199" s="125"/>
      <c r="L199" s="136">
        <f>표3[[#This Row],[발생연차]]+표3[[#This Row],[추가]]-표3[[#This Row],[공제]]</f>
        <v>0</v>
      </c>
      <c r="M199" s="121"/>
      <c r="N199" s="122"/>
      <c r="O199" s="144">
        <f>표3[[#This Row],[총연차]]-표3[[#This Row],[사용분]]-표3[[#This Row],[연차수당분]]</f>
        <v>0</v>
      </c>
      <c r="P199" s="120"/>
      <c r="Q199" s="125"/>
      <c r="R199" s="125"/>
      <c r="S199" s="125"/>
      <c r="T199" s="125"/>
      <c r="U199" s="125"/>
      <c r="V199" s="125"/>
      <c r="W199" s="183"/>
      <c r="X199" s="125"/>
      <c r="Y199" s="125"/>
      <c r="Z199" s="125"/>
      <c r="AA199" s="139"/>
      <c r="AB199" s="123">
        <f>SUM(표3[[#This Row],[1월]:[12월]])</f>
        <v>0</v>
      </c>
      <c r="AC199" s="140"/>
    </row>
    <row r="200" spans="7:29" ht="21" customHeight="1" x14ac:dyDescent="0.3">
      <c r="G200" s="141"/>
      <c r="H200" s="120"/>
      <c r="I200" s="124"/>
      <c r="J200" s="125"/>
      <c r="K200" s="125"/>
      <c r="L200" s="136">
        <f>표3[[#This Row],[발생연차]]+표3[[#This Row],[추가]]-표3[[#This Row],[공제]]</f>
        <v>0</v>
      </c>
      <c r="M200" s="121"/>
      <c r="N200" s="122"/>
      <c r="O200" s="144">
        <f>표3[[#This Row],[총연차]]-표3[[#This Row],[사용분]]-표3[[#This Row],[연차수당분]]</f>
        <v>0</v>
      </c>
      <c r="P200" s="120"/>
      <c r="Q200" s="125"/>
      <c r="R200" s="125"/>
      <c r="S200" s="125"/>
      <c r="T200" s="125"/>
      <c r="U200" s="125"/>
      <c r="V200" s="125"/>
      <c r="W200" s="183"/>
      <c r="X200" s="125"/>
      <c r="Y200" s="125"/>
      <c r="Z200" s="125"/>
      <c r="AA200" s="139"/>
      <c r="AB200" s="123">
        <f>SUM(표3[[#This Row],[1월]:[12월]])</f>
        <v>0</v>
      </c>
      <c r="AC200" s="140"/>
    </row>
    <row r="201" spans="7:29" ht="21" customHeight="1" x14ac:dyDescent="0.3">
      <c r="G201" s="141"/>
      <c r="H201" s="120"/>
      <c r="I201" s="124"/>
      <c r="J201" s="125"/>
      <c r="K201" s="125"/>
      <c r="L201" s="136">
        <f>표3[[#This Row],[발생연차]]+표3[[#This Row],[추가]]-표3[[#This Row],[공제]]</f>
        <v>0</v>
      </c>
      <c r="M201" s="121"/>
      <c r="N201" s="122"/>
      <c r="O201" s="144">
        <f>표3[[#This Row],[총연차]]-표3[[#This Row],[사용분]]-표3[[#This Row],[연차수당분]]</f>
        <v>0</v>
      </c>
      <c r="P201" s="120"/>
      <c r="Q201" s="125"/>
      <c r="R201" s="125"/>
      <c r="S201" s="125"/>
      <c r="T201" s="125"/>
      <c r="U201" s="125"/>
      <c r="V201" s="125"/>
      <c r="W201" s="183"/>
      <c r="X201" s="125"/>
      <c r="Y201" s="125"/>
      <c r="Z201" s="125"/>
      <c r="AA201" s="139"/>
      <c r="AB201" s="123">
        <f>SUM(표3[[#This Row],[1월]:[12월]])</f>
        <v>0</v>
      </c>
      <c r="AC201" s="140"/>
    </row>
    <row r="202" spans="7:29" ht="21" customHeight="1" x14ac:dyDescent="0.3">
      <c r="G202" s="141"/>
      <c r="H202" s="120"/>
      <c r="I202" s="124"/>
      <c r="J202" s="125"/>
      <c r="K202" s="125"/>
      <c r="L202" s="136">
        <f>표3[[#This Row],[발생연차]]+표3[[#This Row],[추가]]-표3[[#This Row],[공제]]</f>
        <v>0</v>
      </c>
      <c r="M202" s="121"/>
      <c r="N202" s="122"/>
      <c r="O202" s="144">
        <f>표3[[#This Row],[총연차]]-표3[[#This Row],[사용분]]-표3[[#This Row],[연차수당분]]</f>
        <v>0</v>
      </c>
      <c r="P202" s="120"/>
      <c r="Q202" s="125"/>
      <c r="R202" s="125"/>
      <c r="S202" s="125"/>
      <c r="T202" s="125"/>
      <c r="U202" s="125"/>
      <c r="V202" s="125"/>
      <c r="W202" s="183"/>
      <c r="X202" s="125"/>
      <c r="Y202" s="125"/>
      <c r="Z202" s="125"/>
      <c r="AA202" s="139"/>
      <c r="AB202" s="123">
        <f>SUM(표3[[#This Row],[1월]:[12월]])</f>
        <v>0</v>
      </c>
      <c r="AC202" s="140"/>
    </row>
    <row r="203" spans="7:29" ht="21" customHeight="1" x14ac:dyDescent="0.3">
      <c r="G203" s="141"/>
      <c r="H203" s="120"/>
      <c r="I203" s="124"/>
      <c r="J203" s="125"/>
      <c r="K203" s="125"/>
      <c r="L203" s="136">
        <f>표3[[#This Row],[발생연차]]+표3[[#This Row],[추가]]-표3[[#This Row],[공제]]</f>
        <v>0</v>
      </c>
      <c r="M203" s="121"/>
      <c r="N203" s="122"/>
      <c r="O203" s="144">
        <f>표3[[#This Row],[총연차]]-표3[[#This Row],[사용분]]-표3[[#This Row],[연차수당분]]</f>
        <v>0</v>
      </c>
      <c r="P203" s="120"/>
      <c r="Q203" s="125"/>
      <c r="R203" s="125"/>
      <c r="S203" s="125"/>
      <c r="T203" s="125"/>
      <c r="U203" s="125"/>
      <c r="V203" s="125"/>
      <c r="W203" s="183"/>
      <c r="X203" s="125"/>
      <c r="Y203" s="125"/>
      <c r="Z203" s="125"/>
      <c r="AA203" s="139"/>
      <c r="AB203" s="123">
        <f>SUM(표3[[#This Row],[1월]:[12월]])</f>
        <v>0</v>
      </c>
      <c r="AC203" s="140"/>
    </row>
    <row r="204" spans="7:29" ht="21" customHeight="1" x14ac:dyDescent="0.3">
      <c r="G204" s="141"/>
      <c r="H204" s="120"/>
      <c r="I204" s="124"/>
      <c r="J204" s="125"/>
      <c r="K204" s="125"/>
      <c r="L204" s="136">
        <f>표3[[#This Row],[발생연차]]+표3[[#This Row],[추가]]-표3[[#This Row],[공제]]</f>
        <v>0</v>
      </c>
      <c r="M204" s="121"/>
      <c r="N204" s="122"/>
      <c r="O204" s="144">
        <f>표3[[#This Row],[총연차]]-표3[[#This Row],[사용분]]-표3[[#This Row],[연차수당분]]</f>
        <v>0</v>
      </c>
      <c r="P204" s="120"/>
      <c r="Q204" s="125"/>
      <c r="R204" s="125"/>
      <c r="S204" s="125"/>
      <c r="T204" s="125"/>
      <c r="U204" s="125"/>
      <c r="V204" s="125"/>
      <c r="W204" s="183"/>
      <c r="X204" s="125"/>
      <c r="Y204" s="125"/>
      <c r="Z204" s="125"/>
      <c r="AA204" s="139"/>
      <c r="AB204" s="123">
        <f>SUM(표3[[#This Row],[1월]:[12월]])</f>
        <v>0</v>
      </c>
      <c r="AC204" s="140"/>
    </row>
    <row r="205" spans="7:29" ht="21" customHeight="1" x14ac:dyDescent="0.3">
      <c r="G205" s="141"/>
      <c r="H205" s="120"/>
      <c r="I205" s="124"/>
      <c r="J205" s="125"/>
      <c r="K205" s="125"/>
      <c r="L205" s="136">
        <f>표3[[#This Row],[발생연차]]+표3[[#This Row],[추가]]-표3[[#This Row],[공제]]</f>
        <v>0</v>
      </c>
      <c r="M205" s="121"/>
      <c r="N205" s="122"/>
      <c r="O205" s="144">
        <f>표3[[#This Row],[총연차]]-표3[[#This Row],[사용분]]-표3[[#This Row],[연차수당분]]</f>
        <v>0</v>
      </c>
      <c r="P205" s="120"/>
      <c r="Q205" s="125"/>
      <c r="R205" s="125"/>
      <c r="S205" s="125"/>
      <c r="T205" s="125"/>
      <c r="U205" s="125"/>
      <c r="V205" s="125"/>
      <c r="W205" s="183"/>
      <c r="X205" s="125"/>
      <c r="Y205" s="125"/>
      <c r="Z205" s="125"/>
      <c r="AA205" s="139"/>
      <c r="AB205" s="123">
        <f>SUM(표3[[#This Row],[1월]:[12월]])</f>
        <v>0</v>
      </c>
      <c r="AC205" s="140"/>
    </row>
    <row r="206" spans="7:29" ht="21" customHeight="1" x14ac:dyDescent="0.3">
      <c r="G206" s="141"/>
      <c r="H206" s="120"/>
      <c r="I206" s="124"/>
      <c r="J206" s="125"/>
      <c r="K206" s="125"/>
      <c r="L206" s="136">
        <f>표3[[#This Row],[발생연차]]+표3[[#This Row],[추가]]-표3[[#This Row],[공제]]</f>
        <v>0</v>
      </c>
      <c r="M206" s="121"/>
      <c r="N206" s="122"/>
      <c r="O206" s="144">
        <f>표3[[#This Row],[총연차]]-표3[[#This Row],[사용분]]-표3[[#This Row],[연차수당분]]</f>
        <v>0</v>
      </c>
      <c r="P206" s="120"/>
      <c r="Q206" s="125"/>
      <c r="R206" s="125"/>
      <c r="S206" s="125"/>
      <c r="T206" s="125"/>
      <c r="U206" s="125"/>
      <c r="V206" s="125"/>
      <c r="W206" s="183"/>
      <c r="X206" s="125"/>
      <c r="Y206" s="125"/>
      <c r="Z206" s="125"/>
      <c r="AA206" s="139"/>
      <c r="AB206" s="123">
        <f>SUM(표3[[#This Row],[1월]:[12월]])</f>
        <v>0</v>
      </c>
      <c r="AC206" s="140"/>
    </row>
    <row r="207" spans="7:29" ht="21" customHeight="1" x14ac:dyDescent="0.3">
      <c r="G207" s="141"/>
      <c r="H207" s="120"/>
      <c r="I207" s="124"/>
      <c r="J207" s="125"/>
      <c r="K207" s="125"/>
      <c r="L207" s="136">
        <f>표3[[#This Row],[발생연차]]+표3[[#This Row],[추가]]-표3[[#This Row],[공제]]</f>
        <v>0</v>
      </c>
      <c r="M207" s="121"/>
      <c r="N207" s="122"/>
      <c r="O207" s="144">
        <f>표3[[#This Row],[총연차]]-표3[[#This Row],[사용분]]-표3[[#This Row],[연차수당분]]</f>
        <v>0</v>
      </c>
      <c r="P207" s="120"/>
      <c r="Q207" s="125"/>
      <c r="R207" s="125"/>
      <c r="S207" s="125"/>
      <c r="T207" s="125"/>
      <c r="U207" s="125"/>
      <c r="V207" s="125"/>
      <c r="W207" s="183"/>
      <c r="X207" s="125"/>
      <c r="Y207" s="125"/>
      <c r="Z207" s="125"/>
      <c r="AA207" s="139"/>
      <c r="AB207" s="123">
        <f>SUM(표3[[#This Row],[1월]:[12월]])</f>
        <v>0</v>
      </c>
      <c r="AC207" s="140"/>
    </row>
    <row r="208" spans="7:29" ht="21" customHeight="1" x14ac:dyDescent="0.3">
      <c r="G208" s="141"/>
      <c r="H208" s="120"/>
      <c r="I208" s="124"/>
      <c r="J208" s="125"/>
      <c r="K208" s="125"/>
      <c r="L208" s="136">
        <f>표3[[#This Row],[발생연차]]+표3[[#This Row],[추가]]-표3[[#This Row],[공제]]</f>
        <v>0</v>
      </c>
      <c r="M208" s="121"/>
      <c r="N208" s="122"/>
      <c r="O208" s="144">
        <f>표3[[#This Row],[총연차]]-표3[[#This Row],[사용분]]-표3[[#This Row],[연차수당분]]</f>
        <v>0</v>
      </c>
      <c r="P208" s="120"/>
      <c r="Q208" s="125"/>
      <c r="R208" s="125"/>
      <c r="S208" s="125"/>
      <c r="T208" s="125"/>
      <c r="U208" s="125"/>
      <c r="V208" s="125"/>
      <c r="W208" s="183"/>
      <c r="X208" s="125"/>
      <c r="Y208" s="125"/>
      <c r="Z208" s="125"/>
      <c r="AA208" s="139"/>
      <c r="AB208" s="123">
        <f>SUM(표3[[#This Row],[1월]:[12월]])</f>
        <v>0</v>
      </c>
      <c r="AC208" s="140"/>
    </row>
    <row r="209" spans="7:29" ht="21" customHeight="1" x14ac:dyDescent="0.3">
      <c r="G209" s="141"/>
      <c r="H209" s="120"/>
      <c r="I209" s="124"/>
      <c r="J209" s="125"/>
      <c r="K209" s="125"/>
      <c r="L209" s="136">
        <f>표3[[#This Row],[발생연차]]+표3[[#This Row],[추가]]-표3[[#This Row],[공제]]</f>
        <v>0</v>
      </c>
      <c r="M209" s="121"/>
      <c r="N209" s="122"/>
      <c r="O209" s="144">
        <f>표3[[#This Row],[총연차]]-표3[[#This Row],[사용분]]-표3[[#This Row],[연차수당분]]</f>
        <v>0</v>
      </c>
      <c r="P209" s="120"/>
      <c r="Q209" s="125"/>
      <c r="R209" s="125"/>
      <c r="S209" s="125"/>
      <c r="T209" s="125"/>
      <c r="U209" s="125"/>
      <c r="V209" s="125"/>
      <c r="W209" s="183"/>
      <c r="X209" s="125"/>
      <c r="Y209" s="125"/>
      <c r="Z209" s="125"/>
      <c r="AA209" s="139"/>
      <c r="AB209" s="123">
        <f>SUM(표3[[#This Row],[1월]:[12월]])</f>
        <v>0</v>
      </c>
      <c r="AC209" s="140"/>
    </row>
    <row r="210" spans="7:29" ht="21" customHeight="1" x14ac:dyDescent="0.3">
      <c r="G210" s="141"/>
      <c r="H210" s="120"/>
      <c r="I210" s="124"/>
      <c r="J210" s="125"/>
      <c r="K210" s="125"/>
      <c r="L210" s="136">
        <f>표3[[#This Row],[발생연차]]+표3[[#This Row],[추가]]-표3[[#This Row],[공제]]</f>
        <v>0</v>
      </c>
      <c r="M210" s="121"/>
      <c r="N210" s="122"/>
      <c r="O210" s="144">
        <f>표3[[#This Row],[총연차]]-표3[[#This Row],[사용분]]-표3[[#This Row],[연차수당분]]</f>
        <v>0</v>
      </c>
      <c r="P210" s="120"/>
      <c r="Q210" s="125"/>
      <c r="R210" s="125"/>
      <c r="S210" s="125"/>
      <c r="T210" s="125"/>
      <c r="U210" s="125"/>
      <c r="V210" s="125"/>
      <c r="W210" s="183"/>
      <c r="X210" s="125"/>
      <c r="Y210" s="125"/>
      <c r="Z210" s="125"/>
      <c r="AA210" s="139"/>
      <c r="AB210" s="123">
        <f>SUM(표3[[#This Row],[1월]:[12월]])</f>
        <v>0</v>
      </c>
      <c r="AC210" s="140"/>
    </row>
    <row r="211" spans="7:29" ht="21" customHeight="1" x14ac:dyDescent="0.3">
      <c r="G211" s="141"/>
      <c r="H211" s="120"/>
      <c r="I211" s="124"/>
      <c r="J211" s="125"/>
      <c r="K211" s="125"/>
      <c r="L211" s="136">
        <f>표3[[#This Row],[발생연차]]+표3[[#This Row],[추가]]-표3[[#This Row],[공제]]</f>
        <v>0</v>
      </c>
      <c r="M211" s="121"/>
      <c r="N211" s="122"/>
      <c r="O211" s="144">
        <f>표3[[#This Row],[총연차]]-표3[[#This Row],[사용분]]-표3[[#This Row],[연차수당분]]</f>
        <v>0</v>
      </c>
      <c r="P211" s="120"/>
      <c r="Q211" s="125"/>
      <c r="R211" s="125"/>
      <c r="S211" s="125"/>
      <c r="T211" s="125"/>
      <c r="U211" s="125"/>
      <c r="V211" s="125"/>
      <c r="W211" s="183"/>
      <c r="X211" s="125"/>
      <c r="Y211" s="125"/>
      <c r="Z211" s="125"/>
      <c r="AA211" s="139"/>
      <c r="AB211" s="123">
        <f>SUM(표3[[#This Row],[1월]:[12월]])</f>
        <v>0</v>
      </c>
      <c r="AC211" s="140"/>
    </row>
    <row r="212" spans="7:29" ht="21" customHeight="1" x14ac:dyDescent="0.3">
      <c r="G212" s="141"/>
      <c r="H212" s="120"/>
      <c r="I212" s="124"/>
      <c r="J212" s="125"/>
      <c r="K212" s="125"/>
      <c r="L212" s="136">
        <f>표3[[#This Row],[발생연차]]+표3[[#This Row],[추가]]-표3[[#This Row],[공제]]</f>
        <v>0</v>
      </c>
      <c r="M212" s="121"/>
      <c r="N212" s="122"/>
      <c r="O212" s="144">
        <f>표3[[#This Row],[총연차]]-표3[[#This Row],[사용분]]-표3[[#This Row],[연차수당분]]</f>
        <v>0</v>
      </c>
      <c r="P212" s="120"/>
      <c r="Q212" s="125"/>
      <c r="R212" s="125"/>
      <c r="S212" s="125"/>
      <c r="T212" s="125"/>
      <c r="U212" s="125"/>
      <c r="V212" s="125"/>
      <c r="W212" s="183"/>
      <c r="X212" s="125"/>
      <c r="Y212" s="125"/>
      <c r="Z212" s="125"/>
      <c r="AA212" s="139"/>
      <c r="AB212" s="123">
        <f>SUM(표3[[#This Row],[1월]:[12월]])</f>
        <v>0</v>
      </c>
      <c r="AC212" s="140"/>
    </row>
    <row r="213" spans="7:29" ht="21" customHeight="1" x14ac:dyDescent="0.3">
      <c r="G213" s="141"/>
      <c r="H213" s="120"/>
      <c r="I213" s="124"/>
      <c r="J213" s="125"/>
      <c r="K213" s="125"/>
      <c r="L213" s="136">
        <f>표3[[#This Row],[발생연차]]+표3[[#This Row],[추가]]-표3[[#This Row],[공제]]</f>
        <v>0</v>
      </c>
      <c r="M213" s="121"/>
      <c r="N213" s="122"/>
      <c r="O213" s="144">
        <f>표3[[#This Row],[총연차]]-표3[[#This Row],[사용분]]-표3[[#This Row],[연차수당분]]</f>
        <v>0</v>
      </c>
      <c r="P213" s="120"/>
      <c r="Q213" s="125"/>
      <c r="R213" s="125"/>
      <c r="S213" s="125"/>
      <c r="T213" s="125"/>
      <c r="U213" s="125"/>
      <c r="V213" s="125"/>
      <c r="W213" s="183"/>
      <c r="X213" s="125"/>
      <c r="Y213" s="125"/>
      <c r="Z213" s="125"/>
      <c r="AA213" s="139"/>
      <c r="AB213" s="123">
        <f>SUM(표3[[#This Row],[1월]:[12월]])</f>
        <v>0</v>
      </c>
      <c r="AC213" s="140"/>
    </row>
    <row r="214" spans="7:29" ht="21" customHeight="1" x14ac:dyDescent="0.3">
      <c r="G214" s="141"/>
      <c r="H214" s="120"/>
      <c r="I214" s="124"/>
      <c r="J214" s="125"/>
      <c r="K214" s="125"/>
      <c r="L214" s="136">
        <f>표3[[#This Row],[발생연차]]+표3[[#This Row],[추가]]-표3[[#This Row],[공제]]</f>
        <v>0</v>
      </c>
      <c r="M214" s="121"/>
      <c r="N214" s="122"/>
      <c r="O214" s="144">
        <f>표3[[#This Row],[총연차]]-표3[[#This Row],[사용분]]-표3[[#This Row],[연차수당분]]</f>
        <v>0</v>
      </c>
      <c r="P214" s="120"/>
      <c r="Q214" s="125"/>
      <c r="R214" s="125"/>
      <c r="S214" s="125"/>
      <c r="T214" s="125"/>
      <c r="U214" s="125"/>
      <c r="V214" s="125"/>
      <c r="W214" s="183"/>
      <c r="X214" s="125"/>
      <c r="Y214" s="125"/>
      <c r="Z214" s="125"/>
      <c r="AA214" s="139"/>
      <c r="AB214" s="123">
        <f>SUM(표3[[#This Row],[1월]:[12월]])</f>
        <v>0</v>
      </c>
      <c r="AC214" s="140"/>
    </row>
    <row r="215" spans="7:29" ht="21" customHeight="1" x14ac:dyDescent="0.3">
      <c r="G215" s="141"/>
      <c r="H215" s="120"/>
      <c r="I215" s="124"/>
      <c r="J215" s="125"/>
      <c r="K215" s="125"/>
      <c r="L215" s="136">
        <f>표3[[#This Row],[발생연차]]+표3[[#This Row],[추가]]-표3[[#This Row],[공제]]</f>
        <v>0</v>
      </c>
      <c r="M215" s="121"/>
      <c r="N215" s="122"/>
      <c r="O215" s="144">
        <f>표3[[#This Row],[총연차]]-표3[[#This Row],[사용분]]-표3[[#This Row],[연차수당분]]</f>
        <v>0</v>
      </c>
      <c r="P215" s="120"/>
      <c r="Q215" s="125"/>
      <c r="R215" s="125"/>
      <c r="S215" s="125"/>
      <c r="T215" s="125"/>
      <c r="U215" s="125"/>
      <c r="V215" s="125"/>
      <c r="W215" s="183"/>
      <c r="X215" s="125"/>
      <c r="Y215" s="125"/>
      <c r="Z215" s="125"/>
      <c r="AA215" s="139"/>
      <c r="AB215" s="123">
        <f>SUM(표3[[#This Row],[1월]:[12월]])</f>
        <v>0</v>
      </c>
      <c r="AC215" s="140"/>
    </row>
    <row r="216" spans="7:29" ht="21" customHeight="1" x14ac:dyDescent="0.3">
      <c r="G216" s="141"/>
      <c r="H216" s="120"/>
      <c r="I216" s="124"/>
      <c r="J216" s="125"/>
      <c r="K216" s="125"/>
      <c r="L216" s="136">
        <f>표3[[#This Row],[발생연차]]+표3[[#This Row],[추가]]-표3[[#This Row],[공제]]</f>
        <v>0</v>
      </c>
      <c r="M216" s="121"/>
      <c r="N216" s="122"/>
      <c r="O216" s="144">
        <f>표3[[#This Row],[총연차]]-표3[[#This Row],[사용분]]-표3[[#This Row],[연차수당분]]</f>
        <v>0</v>
      </c>
      <c r="P216" s="120"/>
      <c r="Q216" s="125"/>
      <c r="R216" s="125"/>
      <c r="S216" s="125"/>
      <c r="T216" s="125"/>
      <c r="U216" s="125"/>
      <c r="V216" s="125"/>
      <c r="W216" s="183"/>
      <c r="X216" s="125"/>
      <c r="Y216" s="125"/>
      <c r="Z216" s="125"/>
      <c r="AA216" s="139"/>
      <c r="AB216" s="123">
        <f>SUM(표3[[#This Row],[1월]:[12월]])</f>
        <v>0</v>
      </c>
      <c r="AC216" s="140"/>
    </row>
    <row r="217" spans="7:29" ht="21" customHeight="1" x14ac:dyDescent="0.3">
      <c r="G217" s="141"/>
      <c r="H217" s="120"/>
      <c r="I217" s="124"/>
      <c r="J217" s="125"/>
      <c r="K217" s="125"/>
      <c r="L217" s="136">
        <f>표3[[#This Row],[발생연차]]+표3[[#This Row],[추가]]-표3[[#This Row],[공제]]</f>
        <v>0</v>
      </c>
      <c r="M217" s="121"/>
      <c r="N217" s="122"/>
      <c r="O217" s="144">
        <f>표3[[#This Row],[총연차]]-표3[[#This Row],[사용분]]-표3[[#This Row],[연차수당분]]</f>
        <v>0</v>
      </c>
      <c r="P217" s="120"/>
      <c r="Q217" s="125"/>
      <c r="R217" s="125"/>
      <c r="S217" s="125"/>
      <c r="T217" s="125"/>
      <c r="U217" s="125"/>
      <c r="V217" s="125"/>
      <c r="W217" s="183"/>
      <c r="X217" s="125"/>
      <c r="Y217" s="125"/>
      <c r="Z217" s="125"/>
      <c r="AA217" s="139"/>
      <c r="AB217" s="123">
        <f>SUM(표3[[#This Row],[1월]:[12월]])</f>
        <v>0</v>
      </c>
      <c r="AC217" s="140"/>
    </row>
    <row r="218" spans="7:29" ht="21" customHeight="1" x14ac:dyDescent="0.3">
      <c r="G218" s="141"/>
      <c r="H218" s="120"/>
      <c r="I218" s="124"/>
      <c r="J218" s="125"/>
      <c r="K218" s="125"/>
      <c r="L218" s="136">
        <f>표3[[#This Row],[발생연차]]+표3[[#This Row],[추가]]-표3[[#This Row],[공제]]</f>
        <v>0</v>
      </c>
      <c r="M218" s="121"/>
      <c r="N218" s="122"/>
      <c r="O218" s="144">
        <f>표3[[#This Row],[총연차]]-표3[[#This Row],[사용분]]-표3[[#This Row],[연차수당분]]</f>
        <v>0</v>
      </c>
      <c r="P218" s="120"/>
      <c r="Q218" s="125"/>
      <c r="R218" s="125"/>
      <c r="S218" s="125"/>
      <c r="T218" s="125"/>
      <c r="U218" s="125"/>
      <c r="V218" s="125"/>
      <c r="W218" s="183"/>
      <c r="X218" s="125"/>
      <c r="Y218" s="125"/>
      <c r="Z218" s="125"/>
      <c r="AA218" s="139"/>
      <c r="AB218" s="123">
        <f>SUM(표3[[#This Row],[1월]:[12월]])</f>
        <v>0</v>
      </c>
      <c r="AC218" s="140"/>
    </row>
    <row r="219" spans="7:29" ht="21" customHeight="1" x14ac:dyDescent="0.3">
      <c r="G219" s="141"/>
      <c r="H219" s="120"/>
      <c r="I219" s="124"/>
      <c r="J219" s="125"/>
      <c r="K219" s="125"/>
      <c r="L219" s="136">
        <f>표3[[#This Row],[발생연차]]+표3[[#This Row],[추가]]-표3[[#This Row],[공제]]</f>
        <v>0</v>
      </c>
      <c r="M219" s="121"/>
      <c r="N219" s="122"/>
      <c r="O219" s="144">
        <f>표3[[#This Row],[총연차]]-표3[[#This Row],[사용분]]-표3[[#This Row],[연차수당분]]</f>
        <v>0</v>
      </c>
      <c r="P219" s="120"/>
      <c r="Q219" s="125"/>
      <c r="R219" s="125"/>
      <c r="S219" s="125"/>
      <c r="T219" s="125"/>
      <c r="U219" s="125"/>
      <c r="V219" s="125"/>
      <c r="W219" s="183"/>
      <c r="X219" s="125"/>
      <c r="Y219" s="125"/>
      <c r="Z219" s="125"/>
      <c r="AA219" s="139"/>
      <c r="AB219" s="123">
        <f>SUM(표3[[#This Row],[1월]:[12월]])</f>
        <v>0</v>
      </c>
      <c r="AC219" s="140"/>
    </row>
    <row r="220" spans="7:29" ht="21" customHeight="1" x14ac:dyDescent="0.3">
      <c r="G220" s="141"/>
      <c r="H220" s="120"/>
      <c r="I220" s="124"/>
      <c r="J220" s="125"/>
      <c r="K220" s="125"/>
      <c r="L220" s="136">
        <f>표3[[#This Row],[발생연차]]+표3[[#This Row],[추가]]-표3[[#This Row],[공제]]</f>
        <v>0</v>
      </c>
      <c r="M220" s="121"/>
      <c r="N220" s="122"/>
      <c r="O220" s="144">
        <f>표3[[#This Row],[총연차]]-표3[[#This Row],[사용분]]-표3[[#This Row],[연차수당분]]</f>
        <v>0</v>
      </c>
      <c r="P220" s="120"/>
      <c r="Q220" s="125"/>
      <c r="R220" s="125"/>
      <c r="S220" s="125"/>
      <c r="T220" s="125"/>
      <c r="U220" s="125"/>
      <c r="V220" s="125"/>
      <c r="W220" s="183"/>
      <c r="X220" s="125"/>
      <c r="Y220" s="125"/>
      <c r="Z220" s="125"/>
      <c r="AA220" s="139"/>
      <c r="AB220" s="123">
        <f>SUM(표3[[#This Row],[1월]:[12월]])</f>
        <v>0</v>
      </c>
      <c r="AC220" s="140"/>
    </row>
    <row r="221" spans="7:29" ht="21" customHeight="1" x14ac:dyDescent="0.3">
      <c r="G221" s="141"/>
      <c r="H221" s="120"/>
      <c r="I221" s="124"/>
      <c r="J221" s="125"/>
      <c r="K221" s="125"/>
      <c r="L221" s="136">
        <f>표3[[#This Row],[발생연차]]+표3[[#This Row],[추가]]-표3[[#This Row],[공제]]</f>
        <v>0</v>
      </c>
      <c r="M221" s="121"/>
      <c r="N221" s="122"/>
      <c r="O221" s="144">
        <f>표3[[#This Row],[총연차]]-표3[[#This Row],[사용분]]-표3[[#This Row],[연차수당분]]</f>
        <v>0</v>
      </c>
      <c r="P221" s="120"/>
      <c r="Q221" s="125"/>
      <c r="R221" s="125"/>
      <c r="S221" s="125"/>
      <c r="T221" s="125"/>
      <c r="U221" s="125"/>
      <c r="V221" s="125"/>
      <c r="W221" s="183"/>
      <c r="X221" s="125"/>
      <c r="Y221" s="125"/>
      <c r="Z221" s="125"/>
      <c r="AA221" s="139"/>
      <c r="AB221" s="123">
        <f>SUM(표3[[#This Row],[1월]:[12월]])</f>
        <v>0</v>
      </c>
      <c r="AC221" s="140"/>
    </row>
    <row r="222" spans="7:29" ht="21" customHeight="1" x14ac:dyDescent="0.3">
      <c r="G222" s="141"/>
      <c r="H222" s="120"/>
      <c r="I222" s="124"/>
      <c r="J222" s="125"/>
      <c r="K222" s="125"/>
      <c r="L222" s="136">
        <f>표3[[#This Row],[발생연차]]+표3[[#This Row],[추가]]-표3[[#This Row],[공제]]</f>
        <v>0</v>
      </c>
      <c r="M222" s="121"/>
      <c r="N222" s="122"/>
      <c r="O222" s="144">
        <f>표3[[#This Row],[총연차]]-표3[[#This Row],[사용분]]-표3[[#This Row],[연차수당분]]</f>
        <v>0</v>
      </c>
      <c r="P222" s="120"/>
      <c r="Q222" s="125"/>
      <c r="R222" s="125"/>
      <c r="S222" s="125"/>
      <c r="T222" s="125"/>
      <c r="U222" s="125"/>
      <c r="V222" s="125"/>
      <c r="W222" s="183"/>
      <c r="X222" s="125"/>
      <c r="Y222" s="125"/>
      <c r="Z222" s="125"/>
      <c r="AA222" s="139"/>
      <c r="AB222" s="123">
        <f>SUM(표3[[#This Row],[1월]:[12월]])</f>
        <v>0</v>
      </c>
      <c r="AC222" s="140"/>
    </row>
    <row r="223" spans="7:29" ht="21" customHeight="1" x14ac:dyDescent="0.3">
      <c r="G223" s="141"/>
      <c r="H223" s="120"/>
      <c r="I223" s="124"/>
      <c r="J223" s="125"/>
      <c r="K223" s="125"/>
      <c r="L223" s="136">
        <f>표3[[#This Row],[발생연차]]+표3[[#This Row],[추가]]-표3[[#This Row],[공제]]</f>
        <v>0</v>
      </c>
      <c r="M223" s="121"/>
      <c r="N223" s="122"/>
      <c r="O223" s="144">
        <f>표3[[#This Row],[총연차]]-표3[[#This Row],[사용분]]-표3[[#This Row],[연차수당분]]</f>
        <v>0</v>
      </c>
      <c r="P223" s="120"/>
      <c r="Q223" s="125"/>
      <c r="R223" s="125"/>
      <c r="S223" s="125"/>
      <c r="T223" s="125"/>
      <c r="U223" s="125"/>
      <c r="V223" s="125"/>
      <c r="W223" s="183"/>
      <c r="X223" s="125"/>
      <c r="Y223" s="125"/>
      <c r="Z223" s="125"/>
      <c r="AA223" s="139"/>
      <c r="AB223" s="123">
        <f>SUM(표3[[#This Row],[1월]:[12월]])</f>
        <v>0</v>
      </c>
      <c r="AC223" s="140"/>
    </row>
    <row r="224" spans="7:29" ht="21" customHeight="1" x14ac:dyDescent="0.3">
      <c r="G224" s="141"/>
      <c r="H224" s="120"/>
      <c r="I224" s="124"/>
      <c r="J224" s="125"/>
      <c r="K224" s="125"/>
      <c r="L224" s="136">
        <f>표3[[#This Row],[발생연차]]+표3[[#This Row],[추가]]-표3[[#This Row],[공제]]</f>
        <v>0</v>
      </c>
      <c r="M224" s="121"/>
      <c r="N224" s="122"/>
      <c r="O224" s="144">
        <f>표3[[#This Row],[총연차]]-표3[[#This Row],[사용분]]-표3[[#This Row],[연차수당분]]</f>
        <v>0</v>
      </c>
      <c r="P224" s="120"/>
      <c r="Q224" s="125"/>
      <c r="R224" s="125"/>
      <c r="S224" s="125"/>
      <c r="T224" s="125"/>
      <c r="U224" s="125"/>
      <c r="V224" s="125"/>
      <c r="W224" s="183"/>
      <c r="X224" s="125"/>
      <c r="Y224" s="125"/>
      <c r="Z224" s="125"/>
      <c r="AA224" s="139"/>
      <c r="AB224" s="123">
        <f>SUM(표3[[#This Row],[1월]:[12월]])</f>
        <v>0</v>
      </c>
      <c r="AC224" s="140"/>
    </row>
    <row r="225" spans="7:29" ht="21" customHeight="1" x14ac:dyDescent="0.3">
      <c r="G225" s="141"/>
      <c r="H225" s="120"/>
      <c r="I225" s="124"/>
      <c r="J225" s="125"/>
      <c r="K225" s="125"/>
      <c r="L225" s="136">
        <f>표3[[#This Row],[발생연차]]+표3[[#This Row],[추가]]-표3[[#This Row],[공제]]</f>
        <v>0</v>
      </c>
      <c r="M225" s="121"/>
      <c r="N225" s="122"/>
      <c r="O225" s="144">
        <f>표3[[#This Row],[총연차]]-표3[[#This Row],[사용분]]-표3[[#This Row],[연차수당분]]</f>
        <v>0</v>
      </c>
      <c r="P225" s="120"/>
      <c r="Q225" s="125"/>
      <c r="R225" s="125"/>
      <c r="S225" s="125"/>
      <c r="T225" s="125"/>
      <c r="U225" s="125"/>
      <c r="V225" s="125"/>
      <c r="W225" s="183"/>
      <c r="X225" s="125"/>
      <c r="Y225" s="125"/>
      <c r="Z225" s="125"/>
      <c r="AA225" s="139"/>
      <c r="AB225" s="123">
        <f>SUM(표3[[#This Row],[1월]:[12월]])</f>
        <v>0</v>
      </c>
      <c r="AC225" s="140"/>
    </row>
    <row r="226" spans="7:29" ht="21" customHeight="1" x14ac:dyDescent="0.3">
      <c r="G226" s="141"/>
      <c r="H226" s="120"/>
      <c r="I226" s="124"/>
      <c r="J226" s="125"/>
      <c r="K226" s="125"/>
      <c r="L226" s="136">
        <f>표3[[#This Row],[발생연차]]+표3[[#This Row],[추가]]-표3[[#This Row],[공제]]</f>
        <v>0</v>
      </c>
      <c r="M226" s="121"/>
      <c r="N226" s="122"/>
      <c r="O226" s="144">
        <f>표3[[#This Row],[총연차]]-표3[[#This Row],[사용분]]-표3[[#This Row],[연차수당분]]</f>
        <v>0</v>
      </c>
      <c r="P226" s="120"/>
      <c r="Q226" s="125"/>
      <c r="R226" s="125"/>
      <c r="S226" s="125"/>
      <c r="T226" s="125"/>
      <c r="U226" s="125"/>
      <c r="V226" s="125"/>
      <c r="W226" s="183"/>
      <c r="X226" s="125"/>
      <c r="Y226" s="125"/>
      <c r="Z226" s="125"/>
      <c r="AA226" s="139"/>
      <c r="AB226" s="123">
        <f>SUM(표3[[#This Row],[1월]:[12월]])</f>
        <v>0</v>
      </c>
      <c r="AC226" s="140"/>
    </row>
    <row r="227" spans="7:29" ht="21" customHeight="1" x14ac:dyDescent="0.3">
      <c r="G227" s="141"/>
      <c r="H227" s="120"/>
      <c r="I227" s="124"/>
      <c r="J227" s="125"/>
      <c r="K227" s="125"/>
      <c r="L227" s="136">
        <f>표3[[#This Row],[발생연차]]+표3[[#This Row],[추가]]-표3[[#This Row],[공제]]</f>
        <v>0</v>
      </c>
      <c r="M227" s="121"/>
      <c r="N227" s="122"/>
      <c r="O227" s="144">
        <f>표3[[#This Row],[총연차]]-표3[[#This Row],[사용분]]-표3[[#This Row],[연차수당분]]</f>
        <v>0</v>
      </c>
      <c r="P227" s="120"/>
      <c r="Q227" s="125"/>
      <c r="R227" s="125"/>
      <c r="S227" s="125"/>
      <c r="T227" s="125"/>
      <c r="U227" s="125"/>
      <c r="V227" s="125"/>
      <c r="W227" s="183"/>
      <c r="X227" s="125"/>
      <c r="Y227" s="125"/>
      <c r="Z227" s="125"/>
      <c r="AA227" s="139"/>
      <c r="AB227" s="123">
        <f>SUM(표3[[#This Row],[1월]:[12월]])</f>
        <v>0</v>
      </c>
      <c r="AC227" s="140"/>
    </row>
    <row r="228" spans="7:29" ht="21" customHeight="1" x14ac:dyDescent="0.3">
      <c r="G228" s="141"/>
      <c r="H228" s="120"/>
      <c r="I228" s="124"/>
      <c r="J228" s="125"/>
      <c r="K228" s="125"/>
      <c r="L228" s="136">
        <f>표3[[#This Row],[발생연차]]+표3[[#This Row],[추가]]-표3[[#This Row],[공제]]</f>
        <v>0</v>
      </c>
      <c r="M228" s="121"/>
      <c r="N228" s="122"/>
      <c r="O228" s="144">
        <f>표3[[#This Row],[총연차]]-표3[[#This Row],[사용분]]-표3[[#This Row],[연차수당분]]</f>
        <v>0</v>
      </c>
      <c r="P228" s="120"/>
      <c r="Q228" s="125"/>
      <c r="R228" s="125"/>
      <c r="S228" s="125"/>
      <c r="T228" s="125"/>
      <c r="U228" s="125"/>
      <c r="V228" s="125"/>
      <c r="W228" s="183"/>
      <c r="X228" s="125"/>
      <c r="Y228" s="125"/>
      <c r="Z228" s="125"/>
      <c r="AA228" s="139"/>
      <c r="AB228" s="123">
        <f>SUM(표3[[#This Row],[1월]:[12월]])</f>
        <v>0</v>
      </c>
      <c r="AC228" s="140"/>
    </row>
    <row r="229" spans="7:29" ht="21" customHeight="1" x14ac:dyDescent="0.3">
      <c r="G229" s="141"/>
      <c r="H229" s="120"/>
      <c r="I229" s="124"/>
      <c r="J229" s="125"/>
      <c r="K229" s="125"/>
      <c r="L229" s="136">
        <f>표3[[#This Row],[발생연차]]+표3[[#This Row],[추가]]-표3[[#This Row],[공제]]</f>
        <v>0</v>
      </c>
      <c r="M229" s="121"/>
      <c r="N229" s="122"/>
      <c r="O229" s="144">
        <f>표3[[#This Row],[총연차]]-표3[[#This Row],[사용분]]-표3[[#This Row],[연차수당분]]</f>
        <v>0</v>
      </c>
      <c r="P229" s="120"/>
      <c r="Q229" s="125"/>
      <c r="R229" s="125"/>
      <c r="S229" s="125"/>
      <c r="T229" s="125"/>
      <c r="U229" s="125"/>
      <c r="V229" s="125"/>
      <c r="W229" s="183"/>
      <c r="X229" s="125"/>
      <c r="Y229" s="125"/>
      <c r="Z229" s="125"/>
      <c r="AA229" s="139"/>
      <c r="AB229" s="123">
        <f>SUM(표3[[#This Row],[1월]:[12월]])</f>
        <v>0</v>
      </c>
      <c r="AC229" s="140"/>
    </row>
    <row r="230" spans="7:29" ht="21" customHeight="1" x14ac:dyDescent="0.3">
      <c r="G230" s="141"/>
      <c r="H230" s="120"/>
      <c r="I230" s="124"/>
      <c r="J230" s="125"/>
      <c r="K230" s="125"/>
      <c r="L230" s="136">
        <f>표3[[#This Row],[발생연차]]+표3[[#This Row],[추가]]-표3[[#This Row],[공제]]</f>
        <v>0</v>
      </c>
      <c r="M230" s="121"/>
      <c r="N230" s="122"/>
      <c r="O230" s="144">
        <f>표3[[#This Row],[총연차]]-표3[[#This Row],[사용분]]-표3[[#This Row],[연차수당분]]</f>
        <v>0</v>
      </c>
      <c r="P230" s="120"/>
      <c r="Q230" s="125"/>
      <c r="R230" s="125"/>
      <c r="S230" s="125"/>
      <c r="T230" s="125"/>
      <c r="U230" s="125"/>
      <c r="V230" s="125"/>
      <c r="W230" s="183"/>
      <c r="X230" s="125"/>
      <c r="Y230" s="125"/>
      <c r="Z230" s="125"/>
      <c r="AA230" s="139"/>
      <c r="AB230" s="123">
        <f>SUM(표3[[#This Row],[1월]:[12월]])</f>
        <v>0</v>
      </c>
      <c r="AC230" s="140"/>
    </row>
    <row r="231" spans="7:29" ht="21" customHeight="1" x14ac:dyDescent="0.3">
      <c r="G231" s="141"/>
      <c r="H231" s="120"/>
      <c r="I231" s="124"/>
      <c r="J231" s="125"/>
      <c r="K231" s="125"/>
      <c r="L231" s="136">
        <f>표3[[#This Row],[발생연차]]+표3[[#This Row],[추가]]-표3[[#This Row],[공제]]</f>
        <v>0</v>
      </c>
      <c r="M231" s="121"/>
      <c r="N231" s="122"/>
      <c r="O231" s="144">
        <f>표3[[#This Row],[총연차]]-표3[[#This Row],[사용분]]-표3[[#This Row],[연차수당분]]</f>
        <v>0</v>
      </c>
      <c r="P231" s="120"/>
      <c r="Q231" s="125"/>
      <c r="R231" s="125"/>
      <c r="S231" s="125"/>
      <c r="T231" s="125"/>
      <c r="U231" s="125"/>
      <c r="V231" s="125"/>
      <c r="W231" s="183"/>
      <c r="X231" s="125"/>
      <c r="Y231" s="125"/>
      <c r="Z231" s="125"/>
      <c r="AA231" s="139"/>
      <c r="AB231" s="123">
        <f>SUM(표3[[#This Row],[1월]:[12월]])</f>
        <v>0</v>
      </c>
      <c r="AC231" s="140"/>
    </row>
    <row r="232" spans="7:29" ht="21" customHeight="1" x14ac:dyDescent="0.3">
      <c r="G232" s="141"/>
      <c r="H232" s="120"/>
      <c r="I232" s="124"/>
      <c r="J232" s="125"/>
      <c r="K232" s="125"/>
      <c r="L232" s="136">
        <f>표3[[#This Row],[발생연차]]+표3[[#This Row],[추가]]-표3[[#This Row],[공제]]</f>
        <v>0</v>
      </c>
      <c r="M232" s="121"/>
      <c r="N232" s="122"/>
      <c r="O232" s="144">
        <f>표3[[#This Row],[총연차]]-표3[[#This Row],[사용분]]-표3[[#This Row],[연차수당분]]</f>
        <v>0</v>
      </c>
      <c r="P232" s="120"/>
      <c r="Q232" s="125"/>
      <c r="R232" s="125"/>
      <c r="S232" s="125"/>
      <c r="T232" s="125"/>
      <c r="U232" s="125"/>
      <c r="V232" s="125"/>
      <c r="W232" s="183"/>
      <c r="X232" s="125"/>
      <c r="Y232" s="125"/>
      <c r="Z232" s="125"/>
      <c r="AA232" s="139"/>
      <c r="AB232" s="123">
        <f>SUM(표3[[#This Row],[1월]:[12월]])</f>
        <v>0</v>
      </c>
      <c r="AC232" s="140"/>
    </row>
    <row r="233" spans="7:29" ht="21" customHeight="1" x14ac:dyDescent="0.3">
      <c r="G233" s="141"/>
      <c r="H233" s="120"/>
      <c r="I233" s="124"/>
      <c r="J233" s="125"/>
      <c r="K233" s="125"/>
      <c r="L233" s="136">
        <f>표3[[#This Row],[발생연차]]+표3[[#This Row],[추가]]-표3[[#This Row],[공제]]</f>
        <v>0</v>
      </c>
      <c r="M233" s="121"/>
      <c r="N233" s="122"/>
      <c r="O233" s="144">
        <f>표3[[#This Row],[총연차]]-표3[[#This Row],[사용분]]-표3[[#This Row],[연차수당분]]</f>
        <v>0</v>
      </c>
      <c r="P233" s="120"/>
      <c r="Q233" s="125"/>
      <c r="R233" s="125"/>
      <c r="S233" s="125"/>
      <c r="T233" s="125"/>
      <c r="U233" s="125"/>
      <c r="V233" s="125"/>
      <c r="W233" s="183"/>
      <c r="X233" s="125"/>
      <c r="Y233" s="125"/>
      <c r="Z233" s="125"/>
      <c r="AA233" s="139"/>
      <c r="AB233" s="123">
        <f>SUM(표3[[#This Row],[1월]:[12월]])</f>
        <v>0</v>
      </c>
      <c r="AC233" s="140"/>
    </row>
    <row r="234" spans="7:29" ht="21" customHeight="1" x14ac:dyDescent="0.3">
      <c r="G234" s="141"/>
      <c r="H234" s="120"/>
      <c r="I234" s="124"/>
      <c r="J234" s="125"/>
      <c r="K234" s="125"/>
      <c r="L234" s="136">
        <f>표3[[#This Row],[발생연차]]+표3[[#This Row],[추가]]-표3[[#This Row],[공제]]</f>
        <v>0</v>
      </c>
      <c r="M234" s="121"/>
      <c r="N234" s="122"/>
      <c r="O234" s="144">
        <f>표3[[#This Row],[총연차]]-표3[[#This Row],[사용분]]-표3[[#This Row],[연차수당분]]</f>
        <v>0</v>
      </c>
      <c r="P234" s="120"/>
      <c r="Q234" s="125"/>
      <c r="R234" s="125"/>
      <c r="S234" s="125"/>
      <c r="T234" s="125"/>
      <c r="U234" s="125"/>
      <c r="V234" s="125"/>
      <c r="W234" s="183"/>
      <c r="X234" s="125"/>
      <c r="Y234" s="125"/>
      <c r="Z234" s="125"/>
      <c r="AA234" s="139"/>
      <c r="AB234" s="123">
        <f>SUM(표3[[#This Row],[1월]:[12월]])</f>
        <v>0</v>
      </c>
      <c r="AC234" s="140"/>
    </row>
    <row r="235" spans="7:29" ht="21" customHeight="1" x14ac:dyDescent="0.3">
      <c r="G235" s="141"/>
      <c r="H235" s="120"/>
      <c r="I235" s="124"/>
      <c r="J235" s="125"/>
      <c r="K235" s="125"/>
      <c r="L235" s="136">
        <f>표3[[#This Row],[발생연차]]+표3[[#This Row],[추가]]-표3[[#This Row],[공제]]</f>
        <v>0</v>
      </c>
      <c r="M235" s="121"/>
      <c r="N235" s="122"/>
      <c r="O235" s="144">
        <f>표3[[#This Row],[총연차]]-표3[[#This Row],[사용분]]-표3[[#This Row],[연차수당분]]</f>
        <v>0</v>
      </c>
      <c r="P235" s="120"/>
      <c r="Q235" s="125"/>
      <c r="R235" s="125"/>
      <c r="S235" s="125"/>
      <c r="T235" s="125"/>
      <c r="U235" s="125"/>
      <c r="V235" s="125"/>
      <c r="W235" s="183"/>
      <c r="X235" s="125"/>
      <c r="Y235" s="125"/>
      <c r="Z235" s="125"/>
      <c r="AA235" s="139"/>
      <c r="AB235" s="123">
        <f>SUM(표3[[#This Row],[1월]:[12월]])</f>
        <v>0</v>
      </c>
      <c r="AC235" s="140"/>
    </row>
    <row r="236" spans="7:29" ht="21" customHeight="1" x14ac:dyDescent="0.3">
      <c r="G236" s="141"/>
      <c r="H236" s="120"/>
      <c r="I236" s="124"/>
      <c r="J236" s="125"/>
      <c r="K236" s="125"/>
      <c r="L236" s="136">
        <f>표3[[#This Row],[발생연차]]+표3[[#This Row],[추가]]-표3[[#This Row],[공제]]</f>
        <v>0</v>
      </c>
      <c r="M236" s="121"/>
      <c r="N236" s="122"/>
      <c r="O236" s="144">
        <f>표3[[#This Row],[총연차]]-표3[[#This Row],[사용분]]-표3[[#This Row],[연차수당분]]</f>
        <v>0</v>
      </c>
      <c r="P236" s="120"/>
      <c r="Q236" s="125"/>
      <c r="R236" s="125"/>
      <c r="S236" s="125"/>
      <c r="T236" s="125"/>
      <c r="U236" s="125"/>
      <c r="V236" s="125"/>
      <c r="W236" s="183"/>
      <c r="X236" s="125"/>
      <c r="Y236" s="125"/>
      <c r="Z236" s="125"/>
      <c r="AA236" s="139"/>
      <c r="AB236" s="123">
        <f>SUM(표3[[#This Row],[1월]:[12월]])</f>
        <v>0</v>
      </c>
      <c r="AC236" s="140"/>
    </row>
    <row r="237" spans="7:29" ht="21" customHeight="1" x14ac:dyDescent="0.3">
      <c r="G237" s="141"/>
      <c r="H237" s="120"/>
      <c r="I237" s="124"/>
      <c r="J237" s="125"/>
      <c r="K237" s="125"/>
      <c r="L237" s="136">
        <f>표3[[#This Row],[발생연차]]+표3[[#This Row],[추가]]-표3[[#This Row],[공제]]</f>
        <v>0</v>
      </c>
      <c r="M237" s="121"/>
      <c r="N237" s="122"/>
      <c r="O237" s="144">
        <f>표3[[#This Row],[총연차]]-표3[[#This Row],[사용분]]-표3[[#This Row],[연차수당분]]</f>
        <v>0</v>
      </c>
      <c r="P237" s="120"/>
      <c r="Q237" s="125"/>
      <c r="R237" s="125"/>
      <c r="S237" s="125"/>
      <c r="T237" s="125"/>
      <c r="U237" s="125"/>
      <c r="V237" s="125"/>
      <c r="W237" s="183"/>
      <c r="X237" s="125"/>
      <c r="Y237" s="125"/>
      <c r="Z237" s="125"/>
      <c r="AA237" s="139"/>
      <c r="AB237" s="123">
        <f>SUM(표3[[#This Row],[1월]:[12월]])</f>
        <v>0</v>
      </c>
      <c r="AC237" s="140"/>
    </row>
    <row r="238" spans="7:29" ht="21" customHeight="1" x14ac:dyDescent="0.3">
      <c r="G238" s="141"/>
      <c r="H238" s="120"/>
      <c r="I238" s="124"/>
      <c r="J238" s="125"/>
      <c r="K238" s="125"/>
      <c r="L238" s="136">
        <f>표3[[#This Row],[발생연차]]+표3[[#This Row],[추가]]-표3[[#This Row],[공제]]</f>
        <v>0</v>
      </c>
      <c r="M238" s="121"/>
      <c r="N238" s="122"/>
      <c r="O238" s="144">
        <f>표3[[#This Row],[총연차]]-표3[[#This Row],[사용분]]-표3[[#This Row],[연차수당분]]</f>
        <v>0</v>
      </c>
      <c r="P238" s="120"/>
      <c r="Q238" s="125"/>
      <c r="R238" s="125"/>
      <c r="S238" s="125"/>
      <c r="T238" s="125"/>
      <c r="U238" s="125"/>
      <c r="V238" s="125"/>
      <c r="W238" s="183"/>
      <c r="X238" s="125"/>
      <c r="Y238" s="125"/>
      <c r="Z238" s="125"/>
      <c r="AA238" s="139"/>
      <c r="AB238" s="123">
        <f>SUM(표3[[#This Row],[1월]:[12월]])</f>
        <v>0</v>
      </c>
      <c r="AC238" s="140"/>
    </row>
    <row r="239" spans="7:29" ht="21" customHeight="1" x14ac:dyDescent="0.3">
      <c r="G239" s="141"/>
      <c r="H239" s="120"/>
      <c r="I239" s="124"/>
      <c r="J239" s="125"/>
      <c r="K239" s="125"/>
      <c r="L239" s="136">
        <f>표3[[#This Row],[발생연차]]+표3[[#This Row],[추가]]-표3[[#This Row],[공제]]</f>
        <v>0</v>
      </c>
      <c r="M239" s="121"/>
      <c r="N239" s="122"/>
      <c r="O239" s="144">
        <f>표3[[#This Row],[총연차]]-표3[[#This Row],[사용분]]-표3[[#This Row],[연차수당분]]</f>
        <v>0</v>
      </c>
      <c r="P239" s="120"/>
      <c r="Q239" s="125"/>
      <c r="R239" s="125"/>
      <c r="S239" s="125"/>
      <c r="T239" s="125"/>
      <c r="U239" s="125"/>
      <c r="V239" s="125"/>
      <c r="W239" s="183"/>
      <c r="X239" s="125"/>
      <c r="Y239" s="125"/>
      <c r="Z239" s="125"/>
      <c r="AA239" s="139"/>
      <c r="AB239" s="123">
        <f>SUM(표3[[#This Row],[1월]:[12월]])</f>
        <v>0</v>
      </c>
      <c r="AC239" s="140"/>
    </row>
    <row r="240" spans="7:29" ht="21" customHeight="1" x14ac:dyDescent="0.3">
      <c r="G240" s="141"/>
      <c r="H240" s="120"/>
      <c r="I240" s="124"/>
      <c r="J240" s="125"/>
      <c r="K240" s="125"/>
      <c r="L240" s="136">
        <f>표3[[#This Row],[발생연차]]+표3[[#This Row],[추가]]-표3[[#This Row],[공제]]</f>
        <v>0</v>
      </c>
      <c r="M240" s="121"/>
      <c r="N240" s="122"/>
      <c r="O240" s="144">
        <f>표3[[#This Row],[총연차]]-표3[[#This Row],[사용분]]-표3[[#This Row],[연차수당분]]</f>
        <v>0</v>
      </c>
      <c r="P240" s="120"/>
      <c r="Q240" s="125"/>
      <c r="R240" s="125"/>
      <c r="S240" s="125"/>
      <c r="T240" s="125"/>
      <c r="U240" s="125"/>
      <c r="V240" s="125"/>
      <c r="W240" s="183"/>
      <c r="X240" s="125"/>
      <c r="Y240" s="125"/>
      <c r="Z240" s="125"/>
      <c r="AA240" s="139"/>
      <c r="AB240" s="123">
        <f>SUM(표3[[#This Row],[1월]:[12월]])</f>
        <v>0</v>
      </c>
      <c r="AC240" s="140"/>
    </row>
    <row r="241" spans="7:29" ht="21" customHeight="1" x14ac:dyDescent="0.3">
      <c r="G241" s="141"/>
      <c r="H241" s="120"/>
      <c r="I241" s="124"/>
      <c r="J241" s="125"/>
      <c r="K241" s="125"/>
      <c r="L241" s="136">
        <f>표3[[#This Row],[발생연차]]+표3[[#This Row],[추가]]-표3[[#This Row],[공제]]</f>
        <v>0</v>
      </c>
      <c r="M241" s="121"/>
      <c r="N241" s="122"/>
      <c r="O241" s="144">
        <f>표3[[#This Row],[총연차]]-표3[[#This Row],[사용분]]-표3[[#This Row],[연차수당분]]</f>
        <v>0</v>
      </c>
      <c r="P241" s="120"/>
      <c r="Q241" s="125"/>
      <c r="R241" s="125"/>
      <c r="S241" s="125"/>
      <c r="T241" s="125"/>
      <c r="U241" s="125"/>
      <c r="V241" s="125"/>
      <c r="W241" s="183"/>
      <c r="X241" s="125"/>
      <c r="Y241" s="125"/>
      <c r="Z241" s="125"/>
      <c r="AA241" s="139"/>
      <c r="AB241" s="123">
        <f>SUM(표3[[#This Row],[1월]:[12월]])</f>
        <v>0</v>
      </c>
      <c r="AC241" s="140"/>
    </row>
    <row r="242" spans="7:29" ht="21" customHeight="1" x14ac:dyDescent="0.3">
      <c r="G242" s="141"/>
      <c r="H242" s="120"/>
      <c r="I242" s="124"/>
      <c r="J242" s="125"/>
      <c r="K242" s="125"/>
      <c r="L242" s="136">
        <f>표3[[#This Row],[발생연차]]+표3[[#This Row],[추가]]-표3[[#This Row],[공제]]</f>
        <v>0</v>
      </c>
      <c r="M242" s="121"/>
      <c r="N242" s="122"/>
      <c r="O242" s="144">
        <f>표3[[#This Row],[총연차]]-표3[[#This Row],[사용분]]-표3[[#This Row],[연차수당분]]</f>
        <v>0</v>
      </c>
      <c r="P242" s="120"/>
      <c r="Q242" s="125"/>
      <c r="R242" s="125"/>
      <c r="S242" s="125"/>
      <c r="T242" s="125"/>
      <c r="U242" s="125"/>
      <c r="V242" s="125"/>
      <c r="W242" s="183"/>
      <c r="X242" s="125"/>
      <c r="Y242" s="125"/>
      <c r="Z242" s="125"/>
      <c r="AA242" s="139"/>
      <c r="AB242" s="123">
        <f>SUM(표3[[#This Row],[1월]:[12월]])</f>
        <v>0</v>
      </c>
      <c r="AC242" s="140"/>
    </row>
    <row r="243" spans="7:29" ht="21" customHeight="1" x14ac:dyDescent="0.3">
      <c r="G243" s="141"/>
      <c r="H243" s="120"/>
      <c r="I243" s="124"/>
      <c r="J243" s="125"/>
      <c r="K243" s="125"/>
      <c r="L243" s="136">
        <f>표3[[#This Row],[발생연차]]+표3[[#This Row],[추가]]-표3[[#This Row],[공제]]</f>
        <v>0</v>
      </c>
      <c r="M243" s="121"/>
      <c r="N243" s="122"/>
      <c r="O243" s="144">
        <f>표3[[#This Row],[총연차]]-표3[[#This Row],[사용분]]-표3[[#This Row],[연차수당분]]</f>
        <v>0</v>
      </c>
      <c r="P243" s="120"/>
      <c r="Q243" s="125"/>
      <c r="R243" s="125"/>
      <c r="S243" s="125"/>
      <c r="T243" s="125"/>
      <c r="U243" s="125"/>
      <c r="V243" s="125"/>
      <c r="W243" s="183"/>
      <c r="X243" s="125"/>
      <c r="Y243" s="125"/>
      <c r="Z243" s="125"/>
      <c r="AA243" s="139"/>
      <c r="AB243" s="123">
        <f>SUM(표3[[#This Row],[1월]:[12월]])</f>
        <v>0</v>
      </c>
      <c r="AC243" s="140"/>
    </row>
    <row r="244" spans="7:29" ht="21" customHeight="1" x14ac:dyDescent="0.3">
      <c r="G244" s="141"/>
      <c r="H244" s="120"/>
      <c r="I244" s="124"/>
      <c r="J244" s="125"/>
      <c r="K244" s="125"/>
      <c r="L244" s="136">
        <f>표3[[#This Row],[발생연차]]+표3[[#This Row],[추가]]-표3[[#This Row],[공제]]</f>
        <v>0</v>
      </c>
      <c r="M244" s="121"/>
      <c r="N244" s="122"/>
      <c r="O244" s="144">
        <f>표3[[#This Row],[총연차]]-표3[[#This Row],[사용분]]-표3[[#This Row],[연차수당분]]</f>
        <v>0</v>
      </c>
      <c r="P244" s="120"/>
      <c r="Q244" s="125"/>
      <c r="R244" s="125"/>
      <c r="S244" s="125"/>
      <c r="T244" s="125"/>
      <c r="U244" s="125"/>
      <c r="V244" s="125"/>
      <c r="W244" s="183"/>
      <c r="X244" s="125"/>
      <c r="Y244" s="125"/>
      <c r="Z244" s="125"/>
      <c r="AA244" s="139"/>
      <c r="AB244" s="123">
        <f>SUM(표3[[#This Row],[1월]:[12월]])</f>
        <v>0</v>
      </c>
      <c r="AC244" s="140"/>
    </row>
    <row r="245" spans="7:29" ht="21" customHeight="1" x14ac:dyDescent="0.3">
      <c r="G245" s="141"/>
      <c r="H245" s="120"/>
      <c r="I245" s="124"/>
      <c r="J245" s="125"/>
      <c r="K245" s="125"/>
      <c r="L245" s="136">
        <f>표3[[#This Row],[발생연차]]+표3[[#This Row],[추가]]-표3[[#This Row],[공제]]</f>
        <v>0</v>
      </c>
      <c r="M245" s="121"/>
      <c r="N245" s="122"/>
      <c r="O245" s="144">
        <f>표3[[#This Row],[총연차]]-표3[[#This Row],[사용분]]-표3[[#This Row],[연차수당분]]</f>
        <v>0</v>
      </c>
      <c r="P245" s="120"/>
      <c r="Q245" s="125"/>
      <c r="R245" s="125"/>
      <c r="S245" s="125"/>
      <c r="T245" s="125"/>
      <c r="U245" s="125"/>
      <c r="V245" s="125"/>
      <c r="W245" s="183"/>
      <c r="X245" s="125"/>
      <c r="Y245" s="125"/>
      <c r="Z245" s="125"/>
      <c r="AA245" s="139"/>
      <c r="AB245" s="123">
        <f>SUM(표3[[#This Row],[1월]:[12월]])</f>
        <v>0</v>
      </c>
      <c r="AC245" s="140"/>
    </row>
    <row r="246" spans="7:29" ht="21" customHeight="1" x14ac:dyDescent="0.3">
      <c r="G246" s="141"/>
      <c r="H246" s="120"/>
      <c r="I246" s="124"/>
      <c r="J246" s="125"/>
      <c r="K246" s="125"/>
      <c r="L246" s="136">
        <f>표3[[#This Row],[발생연차]]+표3[[#This Row],[추가]]-표3[[#This Row],[공제]]</f>
        <v>0</v>
      </c>
      <c r="M246" s="121"/>
      <c r="N246" s="122"/>
      <c r="O246" s="144">
        <f>표3[[#This Row],[총연차]]-표3[[#This Row],[사용분]]-표3[[#This Row],[연차수당분]]</f>
        <v>0</v>
      </c>
      <c r="P246" s="120"/>
      <c r="Q246" s="125"/>
      <c r="R246" s="125"/>
      <c r="S246" s="125"/>
      <c r="T246" s="125"/>
      <c r="U246" s="125"/>
      <c r="V246" s="125"/>
      <c r="W246" s="183"/>
      <c r="X246" s="125"/>
      <c r="Y246" s="125"/>
      <c r="Z246" s="125"/>
      <c r="AA246" s="139"/>
      <c r="AB246" s="123">
        <f>SUM(표3[[#This Row],[1월]:[12월]])</f>
        <v>0</v>
      </c>
      <c r="AC246" s="140"/>
    </row>
    <row r="247" spans="7:29" ht="21" customHeight="1" x14ac:dyDescent="0.3">
      <c r="G247" s="141"/>
      <c r="H247" s="120"/>
      <c r="I247" s="124"/>
      <c r="J247" s="125"/>
      <c r="K247" s="125"/>
      <c r="L247" s="136">
        <f>표3[[#This Row],[발생연차]]+표3[[#This Row],[추가]]-표3[[#This Row],[공제]]</f>
        <v>0</v>
      </c>
      <c r="M247" s="121"/>
      <c r="N247" s="122"/>
      <c r="O247" s="144">
        <f>표3[[#This Row],[총연차]]-표3[[#This Row],[사용분]]-표3[[#This Row],[연차수당분]]</f>
        <v>0</v>
      </c>
      <c r="P247" s="120"/>
      <c r="Q247" s="125"/>
      <c r="R247" s="125"/>
      <c r="S247" s="125"/>
      <c r="T247" s="125"/>
      <c r="U247" s="125"/>
      <c r="V247" s="125"/>
      <c r="W247" s="183"/>
      <c r="X247" s="125"/>
      <c r="Y247" s="125"/>
      <c r="Z247" s="125"/>
      <c r="AA247" s="139"/>
      <c r="AB247" s="123">
        <f>SUM(표3[[#This Row],[1월]:[12월]])</f>
        <v>0</v>
      </c>
      <c r="AC247" s="140"/>
    </row>
    <row r="248" spans="7:29" ht="21" customHeight="1" x14ac:dyDescent="0.3">
      <c r="G248" s="141"/>
      <c r="H248" s="120"/>
      <c r="I248" s="124"/>
      <c r="J248" s="125"/>
      <c r="K248" s="125"/>
      <c r="L248" s="136">
        <f>표3[[#This Row],[발생연차]]+표3[[#This Row],[추가]]-표3[[#This Row],[공제]]</f>
        <v>0</v>
      </c>
      <c r="M248" s="121"/>
      <c r="N248" s="122"/>
      <c r="O248" s="144">
        <f>표3[[#This Row],[총연차]]-표3[[#This Row],[사용분]]-표3[[#This Row],[연차수당분]]</f>
        <v>0</v>
      </c>
      <c r="P248" s="120"/>
      <c r="Q248" s="125"/>
      <c r="R248" s="125"/>
      <c r="S248" s="125"/>
      <c r="T248" s="125"/>
      <c r="U248" s="125"/>
      <c r="V248" s="125"/>
      <c r="W248" s="183"/>
      <c r="X248" s="125"/>
      <c r="Y248" s="125"/>
      <c r="Z248" s="125"/>
      <c r="AA248" s="139"/>
      <c r="AB248" s="123">
        <f>SUM(표3[[#This Row],[1월]:[12월]])</f>
        <v>0</v>
      </c>
      <c r="AC248" s="140"/>
    </row>
    <row r="249" spans="7:29" ht="21" customHeight="1" x14ac:dyDescent="0.3">
      <c r="G249" s="141"/>
      <c r="H249" s="120"/>
      <c r="I249" s="124"/>
      <c r="J249" s="125"/>
      <c r="K249" s="125"/>
      <c r="L249" s="136">
        <f>표3[[#This Row],[발생연차]]+표3[[#This Row],[추가]]-표3[[#This Row],[공제]]</f>
        <v>0</v>
      </c>
      <c r="M249" s="121"/>
      <c r="N249" s="122"/>
      <c r="O249" s="144">
        <f>표3[[#This Row],[총연차]]-표3[[#This Row],[사용분]]-표3[[#This Row],[연차수당분]]</f>
        <v>0</v>
      </c>
      <c r="P249" s="120"/>
      <c r="Q249" s="125"/>
      <c r="R249" s="125"/>
      <c r="S249" s="125"/>
      <c r="T249" s="125"/>
      <c r="U249" s="125"/>
      <c r="V249" s="125"/>
      <c r="W249" s="183"/>
      <c r="X249" s="125"/>
      <c r="Y249" s="125"/>
      <c r="Z249" s="125"/>
      <c r="AA249" s="139"/>
      <c r="AB249" s="123">
        <f>SUM(표3[[#This Row],[1월]:[12월]])</f>
        <v>0</v>
      </c>
      <c r="AC249" s="140"/>
    </row>
    <row r="250" spans="7:29" ht="21" customHeight="1" x14ac:dyDescent="0.3">
      <c r="G250" s="141"/>
      <c r="H250" s="120"/>
      <c r="I250" s="124"/>
      <c r="J250" s="125"/>
      <c r="K250" s="125"/>
      <c r="L250" s="136">
        <f>표3[[#This Row],[발생연차]]+표3[[#This Row],[추가]]-표3[[#This Row],[공제]]</f>
        <v>0</v>
      </c>
      <c r="M250" s="121"/>
      <c r="N250" s="122"/>
      <c r="O250" s="144">
        <f>표3[[#This Row],[총연차]]-표3[[#This Row],[사용분]]-표3[[#This Row],[연차수당분]]</f>
        <v>0</v>
      </c>
      <c r="P250" s="120"/>
      <c r="Q250" s="125"/>
      <c r="R250" s="125"/>
      <c r="S250" s="125"/>
      <c r="T250" s="125"/>
      <c r="U250" s="125"/>
      <c r="V250" s="125"/>
      <c r="W250" s="183"/>
      <c r="X250" s="125"/>
      <c r="Y250" s="125"/>
      <c r="Z250" s="125"/>
      <c r="AA250" s="139"/>
      <c r="AB250" s="123">
        <f>SUM(표3[[#This Row],[1월]:[12월]])</f>
        <v>0</v>
      </c>
      <c r="AC250" s="140"/>
    </row>
    <row r="251" spans="7:29" ht="21" customHeight="1" x14ac:dyDescent="0.3">
      <c r="G251" s="141"/>
      <c r="H251" s="120"/>
      <c r="I251" s="124"/>
      <c r="J251" s="125"/>
      <c r="K251" s="125"/>
      <c r="L251" s="136">
        <f>표3[[#This Row],[발생연차]]+표3[[#This Row],[추가]]-표3[[#This Row],[공제]]</f>
        <v>0</v>
      </c>
      <c r="M251" s="121"/>
      <c r="N251" s="122"/>
      <c r="O251" s="144">
        <f>표3[[#This Row],[총연차]]-표3[[#This Row],[사용분]]-표3[[#This Row],[연차수당분]]</f>
        <v>0</v>
      </c>
      <c r="P251" s="120"/>
      <c r="Q251" s="125"/>
      <c r="R251" s="125"/>
      <c r="S251" s="125"/>
      <c r="T251" s="125"/>
      <c r="U251" s="125"/>
      <c r="V251" s="125"/>
      <c r="W251" s="183"/>
      <c r="X251" s="125"/>
      <c r="Y251" s="125"/>
      <c r="Z251" s="125"/>
      <c r="AA251" s="139"/>
      <c r="AB251" s="123">
        <f>SUM(표3[[#This Row],[1월]:[12월]])</f>
        <v>0</v>
      </c>
      <c r="AC251" s="140"/>
    </row>
    <row r="252" spans="7:29" ht="21" customHeight="1" x14ac:dyDescent="0.3">
      <c r="G252" s="141"/>
      <c r="H252" s="120"/>
      <c r="I252" s="124"/>
      <c r="J252" s="125"/>
      <c r="K252" s="125"/>
      <c r="L252" s="136">
        <f>표3[[#This Row],[발생연차]]+표3[[#This Row],[추가]]-표3[[#This Row],[공제]]</f>
        <v>0</v>
      </c>
      <c r="M252" s="121"/>
      <c r="N252" s="122"/>
      <c r="O252" s="144">
        <f>표3[[#This Row],[총연차]]-표3[[#This Row],[사용분]]-표3[[#This Row],[연차수당분]]</f>
        <v>0</v>
      </c>
      <c r="P252" s="120"/>
      <c r="Q252" s="125"/>
      <c r="R252" s="125"/>
      <c r="S252" s="125"/>
      <c r="T252" s="125"/>
      <c r="U252" s="125"/>
      <c r="V252" s="125"/>
      <c r="W252" s="183"/>
      <c r="X252" s="125"/>
      <c r="Y252" s="125"/>
      <c r="Z252" s="125"/>
      <c r="AA252" s="139"/>
      <c r="AB252" s="123">
        <f>SUM(표3[[#This Row],[1월]:[12월]])</f>
        <v>0</v>
      </c>
      <c r="AC252" s="140"/>
    </row>
    <row r="253" spans="7:29" ht="21" customHeight="1" x14ac:dyDescent="0.3">
      <c r="G253" s="141"/>
      <c r="H253" s="120"/>
      <c r="I253" s="124"/>
      <c r="J253" s="125"/>
      <c r="K253" s="125"/>
      <c r="L253" s="136">
        <f>표3[[#This Row],[발생연차]]+표3[[#This Row],[추가]]-표3[[#This Row],[공제]]</f>
        <v>0</v>
      </c>
      <c r="M253" s="121"/>
      <c r="N253" s="122"/>
      <c r="O253" s="144">
        <f>표3[[#This Row],[총연차]]-표3[[#This Row],[사용분]]-표3[[#This Row],[연차수당분]]</f>
        <v>0</v>
      </c>
      <c r="P253" s="120"/>
      <c r="Q253" s="125"/>
      <c r="R253" s="125"/>
      <c r="S253" s="125"/>
      <c r="T253" s="125"/>
      <c r="U253" s="125"/>
      <c r="V253" s="125"/>
      <c r="W253" s="183"/>
      <c r="X253" s="125"/>
      <c r="Y253" s="125"/>
      <c r="Z253" s="125"/>
      <c r="AA253" s="139"/>
      <c r="AB253" s="123">
        <f>SUM(표3[[#This Row],[1월]:[12월]])</f>
        <v>0</v>
      </c>
      <c r="AC253" s="140"/>
    </row>
    <row r="254" spans="7:29" ht="21" customHeight="1" x14ac:dyDescent="0.3">
      <c r="G254" s="141"/>
      <c r="H254" s="120"/>
      <c r="I254" s="124"/>
      <c r="J254" s="125"/>
      <c r="K254" s="125"/>
      <c r="L254" s="136">
        <f>표3[[#This Row],[발생연차]]+표3[[#This Row],[추가]]-표3[[#This Row],[공제]]</f>
        <v>0</v>
      </c>
      <c r="M254" s="121"/>
      <c r="N254" s="122"/>
      <c r="O254" s="144">
        <f>표3[[#This Row],[총연차]]-표3[[#This Row],[사용분]]-표3[[#This Row],[연차수당분]]</f>
        <v>0</v>
      </c>
      <c r="P254" s="120"/>
      <c r="Q254" s="125"/>
      <c r="R254" s="125"/>
      <c r="S254" s="125"/>
      <c r="T254" s="125"/>
      <c r="U254" s="125"/>
      <c r="V254" s="125"/>
      <c r="W254" s="183"/>
      <c r="X254" s="125"/>
      <c r="Y254" s="125"/>
      <c r="Z254" s="125"/>
      <c r="AA254" s="139"/>
      <c r="AB254" s="123">
        <f>SUM(표3[[#This Row],[1월]:[12월]])</f>
        <v>0</v>
      </c>
      <c r="AC254" s="140"/>
    </row>
    <row r="255" spans="7:29" ht="21" customHeight="1" x14ac:dyDescent="0.3">
      <c r="G255" s="141"/>
      <c r="H255" s="120"/>
      <c r="I255" s="124"/>
      <c r="J255" s="125"/>
      <c r="K255" s="125"/>
      <c r="L255" s="136">
        <f>표3[[#This Row],[발생연차]]+표3[[#This Row],[추가]]-표3[[#This Row],[공제]]</f>
        <v>0</v>
      </c>
      <c r="M255" s="121"/>
      <c r="N255" s="122"/>
      <c r="O255" s="144">
        <f>표3[[#This Row],[총연차]]-표3[[#This Row],[사용분]]-표3[[#This Row],[연차수당분]]</f>
        <v>0</v>
      </c>
      <c r="P255" s="120"/>
      <c r="Q255" s="125"/>
      <c r="R255" s="125"/>
      <c r="S255" s="125"/>
      <c r="T255" s="125"/>
      <c r="U255" s="125"/>
      <c r="V255" s="125"/>
      <c r="W255" s="183"/>
      <c r="X255" s="125"/>
      <c r="Y255" s="125"/>
      <c r="Z255" s="125"/>
      <c r="AA255" s="139"/>
      <c r="AB255" s="123">
        <f>SUM(표3[[#This Row],[1월]:[12월]])</f>
        <v>0</v>
      </c>
      <c r="AC255" s="140"/>
    </row>
    <row r="256" spans="7:29" ht="21" customHeight="1" x14ac:dyDescent="0.3">
      <c r="G256" s="141"/>
      <c r="H256" s="120"/>
      <c r="I256" s="124"/>
      <c r="J256" s="125"/>
      <c r="K256" s="125"/>
      <c r="L256" s="136">
        <f>표3[[#This Row],[발생연차]]+표3[[#This Row],[추가]]-표3[[#This Row],[공제]]</f>
        <v>0</v>
      </c>
      <c r="M256" s="121"/>
      <c r="N256" s="122"/>
      <c r="O256" s="144">
        <f>표3[[#This Row],[총연차]]-표3[[#This Row],[사용분]]-표3[[#This Row],[연차수당분]]</f>
        <v>0</v>
      </c>
      <c r="P256" s="120"/>
      <c r="Q256" s="125"/>
      <c r="R256" s="125"/>
      <c r="S256" s="125"/>
      <c r="T256" s="125"/>
      <c r="U256" s="125"/>
      <c r="V256" s="125"/>
      <c r="W256" s="183"/>
      <c r="X256" s="125"/>
      <c r="Y256" s="125"/>
      <c r="Z256" s="125"/>
      <c r="AA256" s="139"/>
      <c r="AB256" s="123">
        <f>SUM(표3[[#This Row],[1월]:[12월]])</f>
        <v>0</v>
      </c>
      <c r="AC256" s="140"/>
    </row>
    <row r="257" spans="7:29" ht="21" customHeight="1" x14ac:dyDescent="0.3">
      <c r="G257" s="141"/>
      <c r="H257" s="120"/>
      <c r="I257" s="124"/>
      <c r="J257" s="125"/>
      <c r="K257" s="125"/>
      <c r="L257" s="136">
        <f>표3[[#This Row],[발생연차]]+표3[[#This Row],[추가]]-표3[[#This Row],[공제]]</f>
        <v>0</v>
      </c>
      <c r="M257" s="121"/>
      <c r="N257" s="122"/>
      <c r="O257" s="144">
        <f>표3[[#This Row],[총연차]]-표3[[#This Row],[사용분]]-표3[[#This Row],[연차수당분]]</f>
        <v>0</v>
      </c>
      <c r="P257" s="120"/>
      <c r="Q257" s="125"/>
      <c r="R257" s="125"/>
      <c r="S257" s="125"/>
      <c r="T257" s="125"/>
      <c r="U257" s="125"/>
      <c r="V257" s="125"/>
      <c r="W257" s="183"/>
      <c r="X257" s="125"/>
      <c r="Y257" s="125"/>
      <c r="Z257" s="125"/>
      <c r="AA257" s="139"/>
      <c r="AB257" s="123">
        <f>SUM(표3[[#This Row],[1월]:[12월]])</f>
        <v>0</v>
      </c>
      <c r="AC257" s="140"/>
    </row>
    <row r="258" spans="7:29" ht="21" customHeight="1" x14ac:dyDescent="0.3">
      <c r="G258" s="141"/>
      <c r="H258" s="120"/>
      <c r="I258" s="124"/>
      <c r="J258" s="125"/>
      <c r="K258" s="125"/>
      <c r="L258" s="136">
        <f>표3[[#This Row],[발생연차]]+표3[[#This Row],[추가]]-표3[[#This Row],[공제]]</f>
        <v>0</v>
      </c>
      <c r="M258" s="121"/>
      <c r="N258" s="122"/>
      <c r="O258" s="144">
        <f>표3[[#This Row],[총연차]]-표3[[#This Row],[사용분]]-표3[[#This Row],[연차수당분]]</f>
        <v>0</v>
      </c>
      <c r="P258" s="120"/>
      <c r="Q258" s="125"/>
      <c r="R258" s="125"/>
      <c r="S258" s="125"/>
      <c r="T258" s="125"/>
      <c r="U258" s="125"/>
      <c r="V258" s="125"/>
      <c r="W258" s="183"/>
      <c r="X258" s="125"/>
      <c r="Y258" s="125"/>
      <c r="Z258" s="125"/>
      <c r="AA258" s="139"/>
      <c r="AB258" s="123">
        <f>SUM(표3[[#This Row],[1월]:[12월]])</f>
        <v>0</v>
      </c>
      <c r="AC258" s="140"/>
    </row>
    <row r="259" spans="7:29" ht="21" customHeight="1" x14ac:dyDescent="0.3">
      <c r="G259" s="141"/>
      <c r="H259" s="120"/>
      <c r="I259" s="124"/>
      <c r="J259" s="125"/>
      <c r="K259" s="125"/>
      <c r="L259" s="136">
        <f>표3[[#This Row],[발생연차]]+표3[[#This Row],[추가]]-표3[[#This Row],[공제]]</f>
        <v>0</v>
      </c>
      <c r="M259" s="121"/>
      <c r="N259" s="122"/>
      <c r="O259" s="144">
        <f>표3[[#This Row],[총연차]]-표3[[#This Row],[사용분]]-표3[[#This Row],[연차수당분]]</f>
        <v>0</v>
      </c>
      <c r="P259" s="120"/>
      <c r="Q259" s="125"/>
      <c r="R259" s="125"/>
      <c r="S259" s="125"/>
      <c r="T259" s="125"/>
      <c r="U259" s="125"/>
      <c r="V259" s="125"/>
      <c r="W259" s="183"/>
      <c r="X259" s="125"/>
      <c r="Y259" s="125"/>
      <c r="Z259" s="125"/>
      <c r="AA259" s="139"/>
      <c r="AB259" s="123">
        <f>SUM(표3[[#This Row],[1월]:[12월]])</f>
        <v>0</v>
      </c>
      <c r="AC259" s="140"/>
    </row>
    <row r="260" spans="7:29" ht="21" customHeight="1" x14ac:dyDescent="0.3">
      <c r="G260" s="141"/>
      <c r="H260" s="120"/>
      <c r="I260" s="124"/>
      <c r="J260" s="125"/>
      <c r="K260" s="125"/>
      <c r="L260" s="136">
        <f>표3[[#This Row],[발생연차]]+표3[[#This Row],[추가]]-표3[[#This Row],[공제]]</f>
        <v>0</v>
      </c>
      <c r="M260" s="121"/>
      <c r="N260" s="122"/>
      <c r="O260" s="144">
        <f>표3[[#This Row],[총연차]]-표3[[#This Row],[사용분]]-표3[[#This Row],[연차수당분]]</f>
        <v>0</v>
      </c>
      <c r="P260" s="120"/>
      <c r="Q260" s="125"/>
      <c r="R260" s="125"/>
      <c r="S260" s="125"/>
      <c r="T260" s="125"/>
      <c r="U260" s="125"/>
      <c r="V260" s="125"/>
      <c r="W260" s="183"/>
      <c r="X260" s="125"/>
      <c r="Y260" s="125"/>
      <c r="Z260" s="125"/>
      <c r="AA260" s="139"/>
      <c r="AB260" s="123">
        <f>SUM(표3[[#This Row],[1월]:[12월]])</f>
        <v>0</v>
      </c>
      <c r="AC260" s="140"/>
    </row>
    <row r="261" spans="7:29" ht="21" customHeight="1" x14ac:dyDescent="0.3">
      <c r="G261" s="141"/>
      <c r="H261" s="120"/>
      <c r="I261" s="124"/>
      <c r="J261" s="125"/>
      <c r="K261" s="125"/>
      <c r="L261" s="136">
        <f>표3[[#This Row],[발생연차]]+표3[[#This Row],[추가]]-표3[[#This Row],[공제]]</f>
        <v>0</v>
      </c>
      <c r="M261" s="121"/>
      <c r="N261" s="122"/>
      <c r="O261" s="144">
        <f>표3[[#This Row],[총연차]]-표3[[#This Row],[사용분]]-표3[[#This Row],[연차수당분]]</f>
        <v>0</v>
      </c>
      <c r="P261" s="120"/>
      <c r="Q261" s="125"/>
      <c r="R261" s="125"/>
      <c r="S261" s="125"/>
      <c r="T261" s="125"/>
      <c r="U261" s="125"/>
      <c r="V261" s="125"/>
      <c r="W261" s="183"/>
      <c r="X261" s="125"/>
      <c r="Y261" s="125"/>
      <c r="Z261" s="125"/>
      <c r="AA261" s="139"/>
      <c r="AB261" s="123">
        <f>SUM(표3[[#This Row],[1월]:[12월]])</f>
        <v>0</v>
      </c>
      <c r="AC261" s="140"/>
    </row>
    <row r="262" spans="7:29" ht="21" customHeight="1" x14ac:dyDescent="0.3">
      <c r="G262" s="141"/>
      <c r="H262" s="120"/>
      <c r="I262" s="124"/>
      <c r="J262" s="125"/>
      <c r="K262" s="125"/>
      <c r="L262" s="136">
        <f>표3[[#This Row],[발생연차]]+표3[[#This Row],[추가]]-표3[[#This Row],[공제]]</f>
        <v>0</v>
      </c>
      <c r="M262" s="121"/>
      <c r="N262" s="122"/>
      <c r="O262" s="144">
        <f>표3[[#This Row],[총연차]]-표3[[#This Row],[사용분]]-표3[[#This Row],[연차수당분]]</f>
        <v>0</v>
      </c>
      <c r="P262" s="120"/>
      <c r="Q262" s="125"/>
      <c r="R262" s="125"/>
      <c r="S262" s="125"/>
      <c r="T262" s="125"/>
      <c r="U262" s="125"/>
      <c r="V262" s="125"/>
      <c r="W262" s="183"/>
      <c r="X262" s="125"/>
      <c r="Y262" s="125"/>
      <c r="Z262" s="125"/>
      <c r="AA262" s="139"/>
      <c r="AB262" s="123">
        <f>SUM(표3[[#This Row],[1월]:[12월]])</f>
        <v>0</v>
      </c>
      <c r="AC262" s="140"/>
    </row>
    <row r="263" spans="7:29" ht="21" customHeight="1" x14ac:dyDescent="0.3">
      <c r="G263" s="141"/>
      <c r="H263" s="120"/>
      <c r="I263" s="124"/>
      <c r="J263" s="125"/>
      <c r="K263" s="125"/>
      <c r="L263" s="136">
        <f>표3[[#This Row],[발생연차]]+표3[[#This Row],[추가]]-표3[[#This Row],[공제]]</f>
        <v>0</v>
      </c>
      <c r="M263" s="121"/>
      <c r="N263" s="122"/>
      <c r="O263" s="144">
        <f>표3[[#This Row],[총연차]]-표3[[#This Row],[사용분]]-표3[[#This Row],[연차수당분]]</f>
        <v>0</v>
      </c>
      <c r="P263" s="120"/>
      <c r="Q263" s="125"/>
      <c r="R263" s="125"/>
      <c r="S263" s="125"/>
      <c r="T263" s="125"/>
      <c r="U263" s="125"/>
      <c r="V263" s="125"/>
      <c r="W263" s="183"/>
      <c r="X263" s="125"/>
      <c r="Y263" s="125"/>
      <c r="Z263" s="125"/>
      <c r="AA263" s="139"/>
      <c r="AB263" s="123">
        <f>SUM(표3[[#This Row],[1월]:[12월]])</f>
        <v>0</v>
      </c>
      <c r="AC263" s="140"/>
    </row>
    <row r="264" spans="7:29" ht="21" customHeight="1" x14ac:dyDescent="0.3">
      <c r="G264" s="141"/>
      <c r="H264" s="120"/>
      <c r="I264" s="124"/>
      <c r="J264" s="125"/>
      <c r="K264" s="125"/>
      <c r="L264" s="136">
        <f>표3[[#This Row],[발생연차]]+표3[[#This Row],[추가]]-표3[[#This Row],[공제]]</f>
        <v>0</v>
      </c>
      <c r="M264" s="121"/>
      <c r="N264" s="122"/>
      <c r="O264" s="144">
        <f>표3[[#This Row],[총연차]]-표3[[#This Row],[사용분]]-표3[[#This Row],[연차수당분]]</f>
        <v>0</v>
      </c>
      <c r="P264" s="120"/>
      <c r="Q264" s="125"/>
      <c r="R264" s="125"/>
      <c r="S264" s="125"/>
      <c r="T264" s="125"/>
      <c r="U264" s="125"/>
      <c r="V264" s="125"/>
      <c r="W264" s="183"/>
      <c r="X264" s="125"/>
      <c r="Y264" s="125"/>
      <c r="Z264" s="125"/>
      <c r="AA264" s="139"/>
      <c r="AB264" s="123">
        <f>SUM(표3[[#This Row],[1월]:[12월]])</f>
        <v>0</v>
      </c>
      <c r="AC264" s="140"/>
    </row>
    <row r="265" spans="7:29" ht="21" customHeight="1" x14ac:dyDescent="0.3">
      <c r="G265" s="141"/>
      <c r="H265" s="120"/>
      <c r="I265" s="124"/>
      <c r="J265" s="125"/>
      <c r="K265" s="125"/>
      <c r="L265" s="136">
        <f>표3[[#This Row],[발생연차]]+표3[[#This Row],[추가]]-표3[[#This Row],[공제]]</f>
        <v>0</v>
      </c>
      <c r="M265" s="121"/>
      <c r="N265" s="122"/>
      <c r="O265" s="144">
        <f>표3[[#This Row],[총연차]]-표3[[#This Row],[사용분]]-표3[[#This Row],[연차수당분]]</f>
        <v>0</v>
      </c>
      <c r="P265" s="120"/>
      <c r="Q265" s="125"/>
      <c r="R265" s="125"/>
      <c r="S265" s="125"/>
      <c r="T265" s="125"/>
      <c r="U265" s="125"/>
      <c r="V265" s="125"/>
      <c r="W265" s="183"/>
      <c r="X265" s="125"/>
      <c r="Y265" s="125"/>
      <c r="Z265" s="125"/>
      <c r="AA265" s="139"/>
      <c r="AB265" s="123">
        <f>SUM(표3[[#This Row],[1월]:[12월]])</f>
        <v>0</v>
      </c>
      <c r="AC265" s="140"/>
    </row>
    <row r="266" spans="7:29" ht="21" customHeight="1" x14ac:dyDescent="0.3">
      <c r="G266" s="141"/>
      <c r="H266" s="120"/>
      <c r="I266" s="124"/>
      <c r="J266" s="125"/>
      <c r="K266" s="125"/>
      <c r="L266" s="136">
        <f>표3[[#This Row],[발생연차]]+표3[[#This Row],[추가]]-표3[[#This Row],[공제]]</f>
        <v>0</v>
      </c>
      <c r="M266" s="121"/>
      <c r="N266" s="122"/>
      <c r="O266" s="144">
        <f>표3[[#This Row],[총연차]]-표3[[#This Row],[사용분]]-표3[[#This Row],[연차수당분]]</f>
        <v>0</v>
      </c>
      <c r="P266" s="120"/>
      <c r="Q266" s="125"/>
      <c r="R266" s="125"/>
      <c r="S266" s="125"/>
      <c r="T266" s="125"/>
      <c r="U266" s="125"/>
      <c r="V266" s="125"/>
      <c r="W266" s="183"/>
      <c r="X266" s="125"/>
      <c r="Y266" s="125"/>
      <c r="Z266" s="125"/>
      <c r="AA266" s="139"/>
      <c r="AB266" s="123">
        <f>SUM(표3[[#This Row],[1월]:[12월]])</f>
        <v>0</v>
      </c>
      <c r="AC266" s="140"/>
    </row>
    <row r="267" spans="7:29" ht="21" customHeight="1" x14ac:dyDescent="0.3">
      <c r="G267" s="141"/>
      <c r="H267" s="120"/>
      <c r="I267" s="124"/>
      <c r="J267" s="125"/>
      <c r="K267" s="125"/>
      <c r="L267" s="136">
        <f>표3[[#This Row],[발생연차]]+표3[[#This Row],[추가]]-표3[[#This Row],[공제]]</f>
        <v>0</v>
      </c>
      <c r="M267" s="121"/>
      <c r="N267" s="122"/>
      <c r="O267" s="144">
        <f>표3[[#This Row],[총연차]]-표3[[#This Row],[사용분]]-표3[[#This Row],[연차수당분]]</f>
        <v>0</v>
      </c>
      <c r="P267" s="120"/>
      <c r="Q267" s="125"/>
      <c r="R267" s="125"/>
      <c r="S267" s="125"/>
      <c r="T267" s="125"/>
      <c r="U267" s="125"/>
      <c r="V267" s="125"/>
      <c r="W267" s="183"/>
      <c r="X267" s="125"/>
      <c r="Y267" s="125"/>
      <c r="Z267" s="125"/>
      <c r="AA267" s="139"/>
      <c r="AB267" s="123">
        <f>SUM(표3[[#This Row],[1월]:[12월]])</f>
        <v>0</v>
      </c>
      <c r="AC267" s="140"/>
    </row>
    <row r="268" spans="7:29" ht="21" customHeight="1" x14ac:dyDescent="0.3">
      <c r="G268" s="141"/>
      <c r="H268" s="120"/>
      <c r="I268" s="124"/>
      <c r="J268" s="125"/>
      <c r="K268" s="125"/>
      <c r="L268" s="136">
        <f>표3[[#This Row],[발생연차]]+표3[[#This Row],[추가]]-표3[[#This Row],[공제]]</f>
        <v>0</v>
      </c>
      <c r="M268" s="121"/>
      <c r="N268" s="122"/>
      <c r="O268" s="144">
        <f>표3[[#This Row],[총연차]]-표3[[#This Row],[사용분]]-표3[[#This Row],[연차수당분]]</f>
        <v>0</v>
      </c>
      <c r="P268" s="120"/>
      <c r="Q268" s="125"/>
      <c r="R268" s="125"/>
      <c r="S268" s="125"/>
      <c r="T268" s="125"/>
      <c r="U268" s="125"/>
      <c r="V268" s="125"/>
      <c r="W268" s="183"/>
      <c r="X268" s="125"/>
      <c r="Y268" s="125"/>
      <c r="Z268" s="125"/>
      <c r="AA268" s="139"/>
      <c r="AB268" s="123">
        <f>SUM(표3[[#This Row],[1월]:[12월]])</f>
        <v>0</v>
      </c>
      <c r="AC268" s="140"/>
    </row>
    <row r="269" spans="7:29" ht="21" customHeight="1" x14ac:dyDescent="0.3">
      <c r="G269" s="141"/>
      <c r="H269" s="120"/>
      <c r="I269" s="124"/>
      <c r="J269" s="125"/>
      <c r="K269" s="125"/>
      <c r="L269" s="136">
        <f>표3[[#This Row],[발생연차]]+표3[[#This Row],[추가]]-표3[[#This Row],[공제]]</f>
        <v>0</v>
      </c>
      <c r="M269" s="121"/>
      <c r="N269" s="122"/>
      <c r="O269" s="144">
        <f>표3[[#This Row],[총연차]]-표3[[#This Row],[사용분]]-표3[[#This Row],[연차수당분]]</f>
        <v>0</v>
      </c>
      <c r="P269" s="120"/>
      <c r="Q269" s="125"/>
      <c r="R269" s="125"/>
      <c r="S269" s="125"/>
      <c r="T269" s="125"/>
      <c r="U269" s="125"/>
      <c r="V269" s="125"/>
      <c r="W269" s="183"/>
      <c r="X269" s="125"/>
      <c r="Y269" s="125"/>
      <c r="Z269" s="125"/>
      <c r="AA269" s="139"/>
      <c r="AB269" s="123">
        <f>SUM(표3[[#This Row],[1월]:[12월]])</f>
        <v>0</v>
      </c>
      <c r="AC269" s="140"/>
    </row>
    <row r="270" spans="7:29" ht="21" customHeight="1" x14ac:dyDescent="0.3">
      <c r="G270" s="141"/>
      <c r="H270" s="120"/>
      <c r="I270" s="124"/>
      <c r="J270" s="125"/>
      <c r="K270" s="125"/>
      <c r="L270" s="136">
        <f>표3[[#This Row],[발생연차]]+표3[[#This Row],[추가]]-표3[[#This Row],[공제]]</f>
        <v>0</v>
      </c>
      <c r="M270" s="121"/>
      <c r="N270" s="122"/>
      <c r="O270" s="144">
        <f>표3[[#This Row],[총연차]]-표3[[#This Row],[사용분]]-표3[[#This Row],[연차수당분]]</f>
        <v>0</v>
      </c>
      <c r="P270" s="120"/>
      <c r="Q270" s="125"/>
      <c r="R270" s="125"/>
      <c r="S270" s="125"/>
      <c r="T270" s="125"/>
      <c r="U270" s="125"/>
      <c r="V270" s="125"/>
      <c r="W270" s="183"/>
      <c r="X270" s="125"/>
      <c r="Y270" s="125"/>
      <c r="Z270" s="125"/>
      <c r="AA270" s="139"/>
      <c r="AB270" s="123">
        <f>SUM(표3[[#This Row],[1월]:[12월]])</f>
        <v>0</v>
      </c>
      <c r="AC270" s="140"/>
    </row>
    <row r="271" spans="7:29" ht="21" customHeight="1" x14ac:dyDescent="0.3">
      <c r="G271" s="141"/>
      <c r="H271" s="120"/>
      <c r="I271" s="124"/>
      <c r="J271" s="125"/>
      <c r="K271" s="125"/>
      <c r="L271" s="136">
        <f>표3[[#This Row],[발생연차]]+표3[[#This Row],[추가]]-표3[[#This Row],[공제]]</f>
        <v>0</v>
      </c>
      <c r="M271" s="121"/>
      <c r="N271" s="122"/>
      <c r="O271" s="144">
        <f>표3[[#This Row],[총연차]]-표3[[#This Row],[사용분]]-표3[[#This Row],[연차수당분]]</f>
        <v>0</v>
      </c>
      <c r="P271" s="120"/>
      <c r="Q271" s="125"/>
      <c r="R271" s="125"/>
      <c r="S271" s="125"/>
      <c r="T271" s="125"/>
      <c r="U271" s="125"/>
      <c r="V271" s="125"/>
      <c r="W271" s="183"/>
      <c r="X271" s="125"/>
      <c r="Y271" s="125"/>
      <c r="Z271" s="125"/>
      <c r="AA271" s="139"/>
      <c r="AB271" s="123">
        <f>SUM(표3[[#This Row],[1월]:[12월]])</f>
        <v>0</v>
      </c>
      <c r="AC271" s="140"/>
    </row>
    <row r="272" spans="7:29" ht="21" customHeight="1" x14ac:dyDescent="0.3">
      <c r="G272" s="141"/>
      <c r="H272" s="120"/>
      <c r="I272" s="124"/>
      <c r="J272" s="125"/>
      <c r="K272" s="125"/>
      <c r="L272" s="136">
        <f>표3[[#This Row],[발생연차]]+표3[[#This Row],[추가]]-표3[[#This Row],[공제]]</f>
        <v>0</v>
      </c>
      <c r="M272" s="121"/>
      <c r="N272" s="122"/>
      <c r="O272" s="144">
        <f>표3[[#This Row],[총연차]]-표3[[#This Row],[사용분]]-표3[[#This Row],[연차수당분]]</f>
        <v>0</v>
      </c>
      <c r="P272" s="120"/>
      <c r="Q272" s="125"/>
      <c r="R272" s="125"/>
      <c r="S272" s="125"/>
      <c r="T272" s="125"/>
      <c r="U272" s="125"/>
      <c r="V272" s="125"/>
      <c r="W272" s="183"/>
      <c r="X272" s="125"/>
      <c r="Y272" s="125"/>
      <c r="Z272" s="125"/>
      <c r="AA272" s="139"/>
      <c r="AB272" s="123">
        <f>SUM(표3[[#This Row],[1월]:[12월]])</f>
        <v>0</v>
      </c>
      <c r="AC272" s="140"/>
    </row>
    <row r="273" spans="7:29" ht="21" customHeight="1" x14ac:dyDescent="0.3">
      <c r="G273" s="141"/>
      <c r="H273" s="120"/>
      <c r="I273" s="124"/>
      <c r="J273" s="125"/>
      <c r="K273" s="125"/>
      <c r="L273" s="136">
        <f>표3[[#This Row],[발생연차]]+표3[[#This Row],[추가]]-표3[[#This Row],[공제]]</f>
        <v>0</v>
      </c>
      <c r="M273" s="121"/>
      <c r="N273" s="122"/>
      <c r="O273" s="144">
        <f>표3[[#This Row],[총연차]]-표3[[#This Row],[사용분]]-표3[[#This Row],[연차수당분]]</f>
        <v>0</v>
      </c>
      <c r="P273" s="120"/>
      <c r="Q273" s="125"/>
      <c r="R273" s="125"/>
      <c r="S273" s="125"/>
      <c r="T273" s="125"/>
      <c r="U273" s="125"/>
      <c r="V273" s="125"/>
      <c r="W273" s="183"/>
      <c r="X273" s="125"/>
      <c r="Y273" s="125"/>
      <c r="Z273" s="125"/>
      <c r="AA273" s="139"/>
      <c r="AB273" s="123">
        <f>SUM(표3[[#This Row],[1월]:[12월]])</f>
        <v>0</v>
      </c>
      <c r="AC273" s="140"/>
    </row>
    <row r="274" spans="7:29" ht="21" customHeight="1" x14ac:dyDescent="0.3">
      <c r="G274" s="141"/>
      <c r="H274" s="120"/>
      <c r="I274" s="124"/>
      <c r="J274" s="125"/>
      <c r="K274" s="125"/>
      <c r="L274" s="136">
        <f>표3[[#This Row],[발생연차]]+표3[[#This Row],[추가]]-표3[[#This Row],[공제]]</f>
        <v>0</v>
      </c>
      <c r="M274" s="121"/>
      <c r="N274" s="122"/>
      <c r="O274" s="144">
        <f>표3[[#This Row],[총연차]]-표3[[#This Row],[사용분]]-표3[[#This Row],[연차수당분]]</f>
        <v>0</v>
      </c>
      <c r="P274" s="120"/>
      <c r="Q274" s="125"/>
      <c r="R274" s="125"/>
      <c r="S274" s="125"/>
      <c r="T274" s="125"/>
      <c r="U274" s="125"/>
      <c r="V274" s="125"/>
      <c r="W274" s="183"/>
      <c r="X274" s="125"/>
      <c r="Y274" s="125"/>
      <c r="Z274" s="125"/>
      <c r="AA274" s="139"/>
      <c r="AB274" s="123">
        <f>SUM(표3[[#This Row],[1월]:[12월]])</f>
        <v>0</v>
      </c>
      <c r="AC274" s="140"/>
    </row>
    <row r="275" spans="7:29" ht="21" customHeight="1" x14ac:dyDescent="0.3">
      <c r="G275" s="141"/>
      <c r="H275" s="120"/>
      <c r="I275" s="124"/>
      <c r="J275" s="125"/>
      <c r="K275" s="125"/>
      <c r="L275" s="136">
        <f>표3[[#This Row],[발생연차]]+표3[[#This Row],[추가]]-표3[[#This Row],[공제]]</f>
        <v>0</v>
      </c>
      <c r="M275" s="121"/>
      <c r="N275" s="122"/>
      <c r="O275" s="144">
        <f>표3[[#This Row],[총연차]]-표3[[#This Row],[사용분]]-표3[[#This Row],[연차수당분]]</f>
        <v>0</v>
      </c>
      <c r="P275" s="120"/>
      <c r="Q275" s="125"/>
      <c r="R275" s="125"/>
      <c r="S275" s="125"/>
      <c r="T275" s="125"/>
      <c r="U275" s="125"/>
      <c r="V275" s="125"/>
      <c r="W275" s="183"/>
      <c r="X275" s="125"/>
      <c r="Y275" s="125"/>
      <c r="Z275" s="125"/>
      <c r="AA275" s="139"/>
      <c r="AB275" s="123">
        <f>SUM(표3[[#This Row],[1월]:[12월]])</f>
        <v>0</v>
      </c>
      <c r="AC275" s="140"/>
    </row>
    <row r="276" spans="7:29" ht="21" customHeight="1" x14ac:dyDescent="0.3">
      <c r="G276" s="141"/>
      <c r="H276" s="120"/>
      <c r="I276" s="124"/>
      <c r="J276" s="125"/>
      <c r="K276" s="125"/>
      <c r="L276" s="136">
        <f>표3[[#This Row],[발생연차]]+표3[[#This Row],[추가]]-표3[[#This Row],[공제]]</f>
        <v>0</v>
      </c>
      <c r="M276" s="121"/>
      <c r="N276" s="122"/>
      <c r="O276" s="144">
        <f>표3[[#This Row],[총연차]]-표3[[#This Row],[사용분]]-표3[[#This Row],[연차수당분]]</f>
        <v>0</v>
      </c>
      <c r="P276" s="120"/>
      <c r="Q276" s="125"/>
      <c r="R276" s="125"/>
      <c r="S276" s="125"/>
      <c r="T276" s="125"/>
      <c r="U276" s="125"/>
      <c r="V276" s="125"/>
      <c r="W276" s="183"/>
      <c r="X276" s="125"/>
      <c r="Y276" s="125"/>
      <c r="Z276" s="125"/>
      <c r="AA276" s="139"/>
      <c r="AB276" s="123">
        <f>SUM(표3[[#This Row],[1월]:[12월]])</f>
        <v>0</v>
      </c>
      <c r="AC276" s="140"/>
    </row>
    <row r="277" spans="7:29" ht="21" customHeight="1" x14ac:dyDescent="0.3">
      <c r="G277" s="141"/>
      <c r="H277" s="120"/>
      <c r="I277" s="124"/>
      <c r="J277" s="125"/>
      <c r="K277" s="125"/>
      <c r="L277" s="136">
        <f>표3[[#This Row],[발생연차]]+표3[[#This Row],[추가]]-표3[[#This Row],[공제]]</f>
        <v>0</v>
      </c>
      <c r="M277" s="121"/>
      <c r="N277" s="122"/>
      <c r="O277" s="144">
        <f>표3[[#This Row],[총연차]]-표3[[#This Row],[사용분]]-표3[[#This Row],[연차수당분]]</f>
        <v>0</v>
      </c>
      <c r="P277" s="120"/>
      <c r="Q277" s="125"/>
      <c r="R277" s="125"/>
      <c r="S277" s="125"/>
      <c r="T277" s="125"/>
      <c r="U277" s="125"/>
      <c r="V277" s="125"/>
      <c r="W277" s="183"/>
      <c r="X277" s="125"/>
      <c r="Y277" s="125"/>
      <c r="Z277" s="125"/>
      <c r="AA277" s="139"/>
      <c r="AB277" s="123">
        <f>SUM(표3[[#This Row],[1월]:[12월]])</f>
        <v>0</v>
      </c>
      <c r="AC277" s="140"/>
    </row>
    <row r="278" spans="7:29" ht="21" customHeight="1" x14ac:dyDescent="0.3">
      <c r="G278" s="141"/>
      <c r="H278" s="120"/>
      <c r="I278" s="124"/>
      <c r="J278" s="125"/>
      <c r="K278" s="125"/>
      <c r="L278" s="136">
        <f>표3[[#This Row],[발생연차]]+표3[[#This Row],[추가]]-표3[[#This Row],[공제]]</f>
        <v>0</v>
      </c>
      <c r="M278" s="121"/>
      <c r="N278" s="122"/>
      <c r="O278" s="144">
        <f>표3[[#This Row],[총연차]]-표3[[#This Row],[사용분]]-표3[[#This Row],[연차수당분]]</f>
        <v>0</v>
      </c>
      <c r="P278" s="120"/>
      <c r="Q278" s="125"/>
      <c r="R278" s="125"/>
      <c r="S278" s="125"/>
      <c r="T278" s="125"/>
      <c r="U278" s="125"/>
      <c r="V278" s="125"/>
      <c r="W278" s="183"/>
      <c r="X278" s="125"/>
      <c r="Y278" s="125"/>
      <c r="Z278" s="125"/>
      <c r="AA278" s="139"/>
      <c r="AB278" s="123">
        <f>SUM(표3[[#This Row],[1월]:[12월]])</f>
        <v>0</v>
      </c>
      <c r="AC278" s="140"/>
    </row>
    <row r="279" spans="7:29" ht="21" customHeight="1" x14ac:dyDescent="0.3">
      <c r="G279" s="141"/>
      <c r="H279" s="120"/>
      <c r="I279" s="124"/>
      <c r="J279" s="125"/>
      <c r="K279" s="125"/>
      <c r="L279" s="136">
        <f>표3[[#This Row],[발생연차]]+표3[[#This Row],[추가]]-표3[[#This Row],[공제]]</f>
        <v>0</v>
      </c>
      <c r="M279" s="121"/>
      <c r="N279" s="122"/>
      <c r="O279" s="144">
        <f>표3[[#This Row],[총연차]]-표3[[#This Row],[사용분]]-표3[[#This Row],[연차수당분]]</f>
        <v>0</v>
      </c>
      <c r="P279" s="120"/>
      <c r="Q279" s="125"/>
      <c r="R279" s="125"/>
      <c r="S279" s="125"/>
      <c r="T279" s="125"/>
      <c r="U279" s="125"/>
      <c r="V279" s="125"/>
      <c r="W279" s="183"/>
      <c r="X279" s="125"/>
      <c r="Y279" s="125"/>
      <c r="Z279" s="125"/>
      <c r="AA279" s="139"/>
      <c r="AB279" s="123">
        <f>SUM(표3[[#This Row],[1월]:[12월]])</f>
        <v>0</v>
      </c>
      <c r="AC279" s="140"/>
    </row>
    <row r="280" spans="7:29" ht="21" customHeight="1" x14ac:dyDescent="0.3">
      <c r="G280" s="141"/>
      <c r="H280" s="120"/>
      <c r="I280" s="124"/>
      <c r="J280" s="125"/>
      <c r="K280" s="125"/>
      <c r="L280" s="136">
        <f>표3[[#This Row],[발생연차]]+표3[[#This Row],[추가]]-표3[[#This Row],[공제]]</f>
        <v>0</v>
      </c>
      <c r="M280" s="121"/>
      <c r="N280" s="122"/>
      <c r="O280" s="144">
        <f>표3[[#This Row],[총연차]]-표3[[#This Row],[사용분]]-표3[[#This Row],[연차수당분]]</f>
        <v>0</v>
      </c>
      <c r="P280" s="120"/>
      <c r="Q280" s="125"/>
      <c r="R280" s="125"/>
      <c r="S280" s="125"/>
      <c r="T280" s="125"/>
      <c r="U280" s="125"/>
      <c r="V280" s="125"/>
      <c r="W280" s="183"/>
      <c r="X280" s="125"/>
      <c r="Y280" s="125"/>
      <c r="Z280" s="125"/>
      <c r="AA280" s="139"/>
      <c r="AB280" s="123">
        <f>SUM(표3[[#This Row],[1월]:[12월]])</f>
        <v>0</v>
      </c>
      <c r="AC280" s="140"/>
    </row>
    <row r="281" spans="7:29" ht="21" customHeight="1" x14ac:dyDescent="0.3">
      <c r="G281" s="141"/>
      <c r="H281" s="120"/>
      <c r="I281" s="124"/>
      <c r="J281" s="125"/>
      <c r="K281" s="125"/>
      <c r="L281" s="136">
        <f>표3[[#This Row],[발생연차]]+표3[[#This Row],[추가]]-표3[[#This Row],[공제]]</f>
        <v>0</v>
      </c>
      <c r="M281" s="121"/>
      <c r="N281" s="122"/>
      <c r="O281" s="144">
        <f>표3[[#This Row],[총연차]]-표3[[#This Row],[사용분]]-표3[[#This Row],[연차수당분]]</f>
        <v>0</v>
      </c>
      <c r="P281" s="120"/>
      <c r="Q281" s="125"/>
      <c r="R281" s="125"/>
      <c r="S281" s="125"/>
      <c r="T281" s="125"/>
      <c r="U281" s="125"/>
      <c r="V281" s="125"/>
      <c r="W281" s="183"/>
      <c r="X281" s="125"/>
      <c r="Y281" s="125"/>
      <c r="Z281" s="125"/>
      <c r="AA281" s="139"/>
      <c r="AB281" s="123">
        <f>SUM(표3[[#This Row],[1월]:[12월]])</f>
        <v>0</v>
      </c>
      <c r="AC281" s="140"/>
    </row>
    <row r="282" spans="7:29" ht="21" customHeight="1" x14ac:dyDescent="0.3">
      <c r="G282" s="141"/>
      <c r="H282" s="120"/>
      <c r="I282" s="124"/>
      <c r="J282" s="125"/>
      <c r="K282" s="125"/>
      <c r="L282" s="136">
        <f>표3[[#This Row],[발생연차]]+표3[[#This Row],[추가]]-표3[[#This Row],[공제]]</f>
        <v>0</v>
      </c>
      <c r="M282" s="121"/>
      <c r="N282" s="122"/>
      <c r="O282" s="144">
        <f>표3[[#This Row],[총연차]]-표3[[#This Row],[사용분]]-표3[[#This Row],[연차수당분]]</f>
        <v>0</v>
      </c>
      <c r="P282" s="120"/>
      <c r="Q282" s="125"/>
      <c r="R282" s="125"/>
      <c r="S282" s="125"/>
      <c r="T282" s="125"/>
      <c r="U282" s="125"/>
      <c r="V282" s="125"/>
      <c r="W282" s="183"/>
      <c r="X282" s="125"/>
      <c r="Y282" s="125"/>
      <c r="Z282" s="125"/>
      <c r="AA282" s="139"/>
      <c r="AB282" s="123">
        <f>SUM(표3[[#This Row],[1월]:[12월]])</f>
        <v>0</v>
      </c>
      <c r="AC282" s="140"/>
    </row>
    <row r="283" spans="7:29" ht="21" customHeight="1" x14ac:dyDescent="0.3">
      <c r="G283" s="141"/>
      <c r="H283" s="120"/>
      <c r="I283" s="124"/>
      <c r="J283" s="125"/>
      <c r="K283" s="125"/>
      <c r="L283" s="136">
        <f>표3[[#This Row],[발생연차]]+표3[[#This Row],[추가]]-표3[[#This Row],[공제]]</f>
        <v>0</v>
      </c>
      <c r="M283" s="121"/>
      <c r="N283" s="122"/>
      <c r="O283" s="144">
        <f>표3[[#This Row],[총연차]]-표3[[#This Row],[사용분]]-표3[[#This Row],[연차수당분]]</f>
        <v>0</v>
      </c>
      <c r="P283" s="120"/>
      <c r="Q283" s="125"/>
      <c r="R283" s="125"/>
      <c r="S283" s="125"/>
      <c r="T283" s="125"/>
      <c r="U283" s="125"/>
      <c r="V283" s="125"/>
      <c r="W283" s="183"/>
      <c r="X283" s="125"/>
      <c r="Y283" s="125"/>
      <c r="Z283" s="125"/>
      <c r="AA283" s="139"/>
      <c r="AB283" s="123">
        <f>SUM(표3[[#This Row],[1월]:[12월]])</f>
        <v>0</v>
      </c>
      <c r="AC283" s="140"/>
    </row>
    <row r="284" spans="7:29" ht="21" customHeight="1" x14ac:dyDescent="0.3">
      <c r="G284" s="141"/>
      <c r="H284" s="120"/>
      <c r="I284" s="124"/>
      <c r="J284" s="125"/>
      <c r="K284" s="125"/>
      <c r="L284" s="136">
        <f>표3[[#This Row],[발생연차]]+표3[[#This Row],[추가]]-표3[[#This Row],[공제]]</f>
        <v>0</v>
      </c>
      <c r="M284" s="121"/>
      <c r="N284" s="122"/>
      <c r="O284" s="144">
        <f>표3[[#This Row],[총연차]]-표3[[#This Row],[사용분]]-표3[[#This Row],[연차수당분]]</f>
        <v>0</v>
      </c>
      <c r="P284" s="120"/>
      <c r="Q284" s="125"/>
      <c r="R284" s="125"/>
      <c r="S284" s="125"/>
      <c r="T284" s="125"/>
      <c r="U284" s="125"/>
      <c r="V284" s="125"/>
      <c r="W284" s="183"/>
      <c r="X284" s="125"/>
      <c r="Y284" s="125"/>
      <c r="Z284" s="125"/>
      <c r="AA284" s="139"/>
      <c r="AB284" s="123">
        <f>SUM(표3[[#This Row],[1월]:[12월]])</f>
        <v>0</v>
      </c>
      <c r="AC284" s="140"/>
    </row>
    <row r="285" spans="7:29" ht="21" customHeight="1" x14ac:dyDescent="0.3">
      <c r="G285" s="141"/>
      <c r="H285" s="120"/>
      <c r="I285" s="124"/>
      <c r="J285" s="125"/>
      <c r="K285" s="125"/>
      <c r="L285" s="136">
        <f>표3[[#This Row],[발생연차]]+표3[[#This Row],[추가]]-표3[[#This Row],[공제]]</f>
        <v>0</v>
      </c>
      <c r="M285" s="121"/>
      <c r="N285" s="122"/>
      <c r="O285" s="144">
        <f>표3[[#This Row],[총연차]]-표3[[#This Row],[사용분]]-표3[[#This Row],[연차수당분]]</f>
        <v>0</v>
      </c>
      <c r="P285" s="120"/>
      <c r="Q285" s="125"/>
      <c r="R285" s="125"/>
      <c r="S285" s="125"/>
      <c r="T285" s="125"/>
      <c r="U285" s="125"/>
      <c r="V285" s="125"/>
      <c r="W285" s="183"/>
      <c r="X285" s="125"/>
      <c r="Y285" s="125"/>
      <c r="Z285" s="125"/>
      <c r="AA285" s="139"/>
      <c r="AB285" s="123">
        <f>SUM(표3[[#This Row],[1월]:[12월]])</f>
        <v>0</v>
      </c>
      <c r="AC285" s="140"/>
    </row>
    <row r="286" spans="7:29" ht="21" customHeight="1" x14ac:dyDescent="0.3">
      <c r="G286" s="141"/>
      <c r="H286" s="120"/>
      <c r="I286" s="124"/>
      <c r="J286" s="125"/>
      <c r="K286" s="125"/>
      <c r="L286" s="136">
        <f>표3[[#This Row],[발생연차]]+표3[[#This Row],[추가]]-표3[[#This Row],[공제]]</f>
        <v>0</v>
      </c>
      <c r="M286" s="121"/>
      <c r="N286" s="122"/>
      <c r="O286" s="144">
        <f>표3[[#This Row],[총연차]]-표3[[#This Row],[사용분]]-표3[[#This Row],[연차수당분]]</f>
        <v>0</v>
      </c>
      <c r="P286" s="120"/>
      <c r="Q286" s="125"/>
      <c r="R286" s="125"/>
      <c r="S286" s="125"/>
      <c r="T286" s="125"/>
      <c r="U286" s="125"/>
      <c r="V286" s="125"/>
      <c r="W286" s="183"/>
      <c r="X286" s="125"/>
      <c r="Y286" s="125"/>
      <c r="Z286" s="125"/>
      <c r="AA286" s="139"/>
      <c r="AB286" s="123">
        <f>SUM(표3[[#This Row],[1월]:[12월]])</f>
        <v>0</v>
      </c>
      <c r="AC286" s="140"/>
    </row>
    <row r="287" spans="7:29" ht="21" customHeight="1" x14ac:dyDescent="0.3">
      <c r="G287" s="141"/>
      <c r="H287" s="120"/>
      <c r="I287" s="124"/>
      <c r="J287" s="125"/>
      <c r="K287" s="125"/>
      <c r="L287" s="136">
        <f>표3[[#This Row],[발생연차]]+표3[[#This Row],[추가]]-표3[[#This Row],[공제]]</f>
        <v>0</v>
      </c>
      <c r="M287" s="121"/>
      <c r="N287" s="122"/>
      <c r="O287" s="144">
        <f>표3[[#This Row],[총연차]]-표3[[#This Row],[사용분]]-표3[[#This Row],[연차수당분]]</f>
        <v>0</v>
      </c>
      <c r="P287" s="120"/>
      <c r="Q287" s="125"/>
      <c r="R287" s="125"/>
      <c r="S287" s="125"/>
      <c r="T287" s="125"/>
      <c r="U287" s="125"/>
      <c r="V287" s="125"/>
      <c r="W287" s="183"/>
      <c r="X287" s="125"/>
      <c r="Y287" s="125"/>
      <c r="Z287" s="125"/>
      <c r="AA287" s="139"/>
      <c r="AB287" s="123">
        <f>SUM(표3[[#This Row],[1월]:[12월]])</f>
        <v>0</v>
      </c>
      <c r="AC287" s="140"/>
    </row>
    <row r="288" spans="7:29" ht="21" customHeight="1" x14ac:dyDescent="0.3">
      <c r="G288" s="141"/>
      <c r="H288" s="120"/>
      <c r="I288" s="124"/>
      <c r="J288" s="125"/>
      <c r="K288" s="125"/>
      <c r="L288" s="136">
        <f>표3[[#This Row],[발생연차]]+표3[[#This Row],[추가]]-표3[[#This Row],[공제]]</f>
        <v>0</v>
      </c>
      <c r="M288" s="121"/>
      <c r="N288" s="122"/>
      <c r="O288" s="144">
        <f>표3[[#This Row],[총연차]]-표3[[#This Row],[사용분]]-표3[[#This Row],[연차수당분]]</f>
        <v>0</v>
      </c>
      <c r="P288" s="120"/>
      <c r="Q288" s="125"/>
      <c r="R288" s="125"/>
      <c r="S288" s="125"/>
      <c r="T288" s="125"/>
      <c r="U288" s="125"/>
      <c r="V288" s="125"/>
      <c r="W288" s="183"/>
      <c r="X288" s="125"/>
      <c r="Y288" s="125"/>
      <c r="Z288" s="125"/>
      <c r="AA288" s="139"/>
      <c r="AB288" s="123">
        <f>SUM(표3[[#This Row],[1월]:[12월]])</f>
        <v>0</v>
      </c>
      <c r="AC288" s="140"/>
    </row>
    <row r="289" spans="7:29" ht="21" customHeight="1" x14ac:dyDescent="0.3">
      <c r="G289" s="141"/>
      <c r="H289" s="120"/>
      <c r="I289" s="124"/>
      <c r="J289" s="125"/>
      <c r="K289" s="125"/>
      <c r="L289" s="136">
        <f>표3[[#This Row],[발생연차]]+표3[[#This Row],[추가]]-표3[[#This Row],[공제]]</f>
        <v>0</v>
      </c>
      <c r="M289" s="121"/>
      <c r="N289" s="122"/>
      <c r="O289" s="144">
        <f>표3[[#This Row],[총연차]]-표3[[#This Row],[사용분]]-표3[[#This Row],[연차수당분]]</f>
        <v>0</v>
      </c>
      <c r="P289" s="120"/>
      <c r="Q289" s="125"/>
      <c r="R289" s="125"/>
      <c r="S289" s="125"/>
      <c r="T289" s="125"/>
      <c r="U289" s="125"/>
      <c r="V289" s="125"/>
      <c r="W289" s="183"/>
      <c r="X289" s="125"/>
      <c r="Y289" s="125"/>
      <c r="Z289" s="125"/>
      <c r="AA289" s="139"/>
      <c r="AB289" s="123">
        <f>SUM(표3[[#This Row],[1월]:[12월]])</f>
        <v>0</v>
      </c>
      <c r="AC289" s="140"/>
    </row>
    <row r="290" spans="7:29" ht="21" customHeight="1" x14ac:dyDescent="0.3">
      <c r="G290" s="141"/>
      <c r="H290" s="120"/>
      <c r="I290" s="124"/>
      <c r="J290" s="125"/>
      <c r="K290" s="125"/>
      <c r="L290" s="136">
        <f>표3[[#This Row],[발생연차]]+표3[[#This Row],[추가]]-표3[[#This Row],[공제]]</f>
        <v>0</v>
      </c>
      <c r="M290" s="121"/>
      <c r="N290" s="122"/>
      <c r="O290" s="144">
        <f>표3[[#This Row],[총연차]]-표3[[#This Row],[사용분]]-표3[[#This Row],[연차수당분]]</f>
        <v>0</v>
      </c>
      <c r="P290" s="120"/>
      <c r="Q290" s="125"/>
      <c r="R290" s="125"/>
      <c r="S290" s="125"/>
      <c r="T290" s="125"/>
      <c r="U290" s="125"/>
      <c r="V290" s="125"/>
      <c r="W290" s="183"/>
      <c r="X290" s="125"/>
      <c r="Y290" s="125"/>
      <c r="Z290" s="125"/>
      <c r="AA290" s="139"/>
      <c r="AB290" s="123">
        <f>SUM(표3[[#This Row],[1월]:[12월]])</f>
        <v>0</v>
      </c>
      <c r="AC290" s="140"/>
    </row>
    <row r="291" spans="7:29" ht="21" customHeight="1" x14ac:dyDescent="0.3">
      <c r="G291" s="141"/>
      <c r="H291" s="120"/>
      <c r="I291" s="124"/>
      <c r="J291" s="125"/>
      <c r="K291" s="125"/>
      <c r="L291" s="136">
        <f>표3[[#This Row],[발생연차]]+표3[[#This Row],[추가]]-표3[[#This Row],[공제]]</f>
        <v>0</v>
      </c>
      <c r="M291" s="121"/>
      <c r="N291" s="122"/>
      <c r="O291" s="144">
        <f>표3[[#This Row],[총연차]]-표3[[#This Row],[사용분]]-표3[[#This Row],[연차수당분]]</f>
        <v>0</v>
      </c>
      <c r="P291" s="120"/>
      <c r="Q291" s="125"/>
      <c r="R291" s="125"/>
      <c r="S291" s="125"/>
      <c r="T291" s="125"/>
      <c r="U291" s="125"/>
      <c r="V291" s="125"/>
      <c r="W291" s="183"/>
      <c r="X291" s="125"/>
      <c r="Y291" s="125"/>
      <c r="Z291" s="125"/>
      <c r="AA291" s="139"/>
      <c r="AB291" s="123">
        <f>SUM(표3[[#This Row],[1월]:[12월]])</f>
        <v>0</v>
      </c>
      <c r="AC291" s="140"/>
    </row>
    <row r="292" spans="7:29" ht="21" customHeight="1" x14ac:dyDescent="0.3">
      <c r="G292" s="141"/>
      <c r="H292" s="120"/>
      <c r="I292" s="124"/>
      <c r="J292" s="125"/>
      <c r="K292" s="125"/>
      <c r="L292" s="136">
        <f>표3[[#This Row],[발생연차]]+표3[[#This Row],[추가]]-표3[[#This Row],[공제]]</f>
        <v>0</v>
      </c>
      <c r="M292" s="121"/>
      <c r="N292" s="122"/>
      <c r="O292" s="144">
        <f>표3[[#This Row],[총연차]]-표3[[#This Row],[사용분]]-표3[[#This Row],[연차수당분]]</f>
        <v>0</v>
      </c>
      <c r="P292" s="120"/>
      <c r="Q292" s="125"/>
      <c r="R292" s="125"/>
      <c r="S292" s="125"/>
      <c r="T292" s="125"/>
      <c r="U292" s="125"/>
      <c r="V292" s="125"/>
      <c r="W292" s="183"/>
      <c r="X292" s="125"/>
      <c r="Y292" s="125"/>
      <c r="Z292" s="125"/>
      <c r="AA292" s="139"/>
      <c r="AB292" s="123">
        <f>SUM(표3[[#This Row],[1월]:[12월]])</f>
        <v>0</v>
      </c>
      <c r="AC292" s="140"/>
    </row>
    <row r="293" spans="7:29" ht="21" customHeight="1" x14ac:dyDescent="0.3">
      <c r="G293" s="141"/>
      <c r="H293" s="120"/>
      <c r="I293" s="124"/>
      <c r="J293" s="125"/>
      <c r="K293" s="125"/>
      <c r="L293" s="136">
        <f>표3[[#This Row],[발생연차]]+표3[[#This Row],[추가]]-표3[[#This Row],[공제]]</f>
        <v>0</v>
      </c>
      <c r="M293" s="121"/>
      <c r="N293" s="122"/>
      <c r="O293" s="144">
        <f>표3[[#This Row],[총연차]]-표3[[#This Row],[사용분]]-표3[[#This Row],[연차수당분]]</f>
        <v>0</v>
      </c>
      <c r="P293" s="120"/>
      <c r="Q293" s="125"/>
      <c r="R293" s="125"/>
      <c r="S293" s="125"/>
      <c r="T293" s="125"/>
      <c r="U293" s="125"/>
      <c r="V293" s="125"/>
      <c r="W293" s="183"/>
      <c r="X293" s="125"/>
      <c r="Y293" s="125"/>
      <c r="Z293" s="125"/>
      <c r="AA293" s="139"/>
      <c r="AB293" s="123">
        <f>SUM(표3[[#This Row],[1월]:[12월]])</f>
        <v>0</v>
      </c>
      <c r="AC293" s="140"/>
    </row>
    <row r="294" spans="7:29" ht="21" customHeight="1" x14ac:dyDescent="0.3">
      <c r="G294" s="141"/>
      <c r="H294" s="120"/>
      <c r="I294" s="124"/>
      <c r="J294" s="125"/>
      <c r="K294" s="125"/>
      <c r="L294" s="136">
        <f>표3[[#This Row],[발생연차]]+표3[[#This Row],[추가]]-표3[[#This Row],[공제]]</f>
        <v>0</v>
      </c>
      <c r="M294" s="121"/>
      <c r="N294" s="122"/>
      <c r="O294" s="144">
        <f>표3[[#This Row],[총연차]]-표3[[#This Row],[사용분]]-표3[[#This Row],[연차수당분]]</f>
        <v>0</v>
      </c>
      <c r="P294" s="120"/>
      <c r="Q294" s="125"/>
      <c r="R294" s="125"/>
      <c r="S294" s="125"/>
      <c r="T294" s="125"/>
      <c r="U294" s="125"/>
      <c r="V294" s="125"/>
      <c r="W294" s="183"/>
      <c r="X294" s="125"/>
      <c r="Y294" s="125"/>
      <c r="Z294" s="125"/>
      <c r="AA294" s="139"/>
      <c r="AB294" s="123">
        <f>SUM(표3[[#This Row],[1월]:[12월]])</f>
        <v>0</v>
      </c>
      <c r="AC294" s="140"/>
    </row>
    <row r="295" spans="7:29" ht="21" customHeight="1" x14ac:dyDescent="0.3">
      <c r="G295" s="141"/>
      <c r="H295" s="120"/>
      <c r="I295" s="124"/>
      <c r="J295" s="125"/>
      <c r="K295" s="125"/>
      <c r="L295" s="136">
        <f>표3[[#This Row],[발생연차]]+표3[[#This Row],[추가]]-표3[[#This Row],[공제]]</f>
        <v>0</v>
      </c>
      <c r="M295" s="121"/>
      <c r="N295" s="122"/>
      <c r="O295" s="144">
        <f>표3[[#This Row],[총연차]]-표3[[#This Row],[사용분]]-표3[[#This Row],[연차수당분]]</f>
        <v>0</v>
      </c>
      <c r="P295" s="120"/>
      <c r="Q295" s="125"/>
      <c r="R295" s="125"/>
      <c r="S295" s="125"/>
      <c r="T295" s="125"/>
      <c r="U295" s="125"/>
      <c r="V295" s="125"/>
      <c r="W295" s="183"/>
      <c r="X295" s="125"/>
      <c r="Y295" s="125"/>
      <c r="Z295" s="125"/>
      <c r="AA295" s="139"/>
      <c r="AB295" s="123">
        <f>SUM(표3[[#This Row],[1월]:[12월]])</f>
        <v>0</v>
      </c>
      <c r="AC295" s="140"/>
    </row>
    <row r="296" spans="7:29" ht="21" customHeight="1" x14ac:dyDescent="0.3">
      <c r="G296" s="141"/>
      <c r="H296" s="120"/>
      <c r="I296" s="124"/>
      <c r="J296" s="125"/>
      <c r="K296" s="125"/>
      <c r="L296" s="136">
        <f>표3[[#This Row],[발생연차]]+표3[[#This Row],[추가]]-표3[[#This Row],[공제]]</f>
        <v>0</v>
      </c>
      <c r="M296" s="121"/>
      <c r="N296" s="122"/>
      <c r="O296" s="144">
        <f>표3[[#This Row],[총연차]]-표3[[#This Row],[사용분]]-표3[[#This Row],[연차수당분]]</f>
        <v>0</v>
      </c>
      <c r="P296" s="120"/>
      <c r="Q296" s="125"/>
      <c r="R296" s="125"/>
      <c r="S296" s="125"/>
      <c r="T296" s="125"/>
      <c r="U296" s="125"/>
      <c r="V296" s="125"/>
      <c r="W296" s="183"/>
      <c r="X296" s="125"/>
      <c r="Y296" s="125"/>
      <c r="Z296" s="125"/>
      <c r="AA296" s="139"/>
      <c r="AB296" s="123">
        <f>SUM(표3[[#This Row],[1월]:[12월]])</f>
        <v>0</v>
      </c>
      <c r="AC296" s="140"/>
    </row>
    <row r="297" spans="7:29" ht="21" customHeight="1" x14ac:dyDescent="0.3">
      <c r="G297" s="141"/>
      <c r="H297" s="120"/>
      <c r="I297" s="124"/>
      <c r="J297" s="125"/>
      <c r="K297" s="125"/>
      <c r="L297" s="136">
        <f>표3[[#This Row],[발생연차]]+표3[[#This Row],[추가]]-표3[[#This Row],[공제]]</f>
        <v>0</v>
      </c>
      <c r="M297" s="121"/>
      <c r="N297" s="122"/>
      <c r="O297" s="144">
        <f>표3[[#This Row],[총연차]]-표3[[#This Row],[사용분]]-표3[[#This Row],[연차수당분]]</f>
        <v>0</v>
      </c>
      <c r="P297" s="120"/>
      <c r="Q297" s="125"/>
      <c r="R297" s="125"/>
      <c r="S297" s="125"/>
      <c r="T297" s="125"/>
      <c r="U297" s="125"/>
      <c r="V297" s="125"/>
      <c r="W297" s="183"/>
      <c r="X297" s="125"/>
      <c r="Y297" s="125"/>
      <c r="Z297" s="125"/>
      <c r="AA297" s="139"/>
      <c r="AB297" s="123">
        <f>SUM(표3[[#This Row],[1월]:[12월]])</f>
        <v>0</v>
      </c>
      <c r="AC297" s="140"/>
    </row>
    <row r="298" spans="7:29" ht="21" customHeight="1" x14ac:dyDescent="0.3">
      <c r="G298" s="141"/>
      <c r="H298" s="120"/>
      <c r="I298" s="124"/>
      <c r="J298" s="125"/>
      <c r="K298" s="125"/>
      <c r="L298" s="136">
        <f>표3[[#This Row],[발생연차]]+표3[[#This Row],[추가]]-표3[[#This Row],[공제]]</f>
        <v>0</v>
      </c>
      <c r="M298" s="121"/>
      <c r="N298" s="122"/>
      <c r="O298" s="144">
        <f>표3[[#This Row],[총연차]]-표3[[#This Row],[사용분]]-표3[[#This Row],[연차수당분]]</f>
        <v>0</v>
      </c>
      <c r="P298" s="120"/>
      <c r="Q298" s="125"/>
      <c r="R298" s="125"/>
      <c r="S298" s="125"/>
      <c r="T298" s="125"/>
      <c r="U298" s="125"/>
      <c r="V298" s="125"/>
      <c r="W298" s="183"/>
      <c r="X298" s="125"/>
      <c r="Y298" s="125"/>
      <c r="Z298" s="125"/>
      <c r="AA298" s="139"/>
      <c r="AB298" s="123">
        <f>SUM(표3[[#This Row],[1월]:[12월]])</f>
        <v>0</v>
      </c>
      <c r="AC298" s="140"/>
    </row>
    <row r="299" spans="7:29" ht="21" customHeight="1" x14ac:dyDescent="0.3">
      <c r="G299" s="141"/>
      <c r="H299" s="120"/>
      <c r="I299" s="124"/>
      <c r="J299" s="125"/>
      <c r="K299" s="125"/>
      <c r="L299" s="136">
        <f>표3[[#This Row],[발생연차]]+표3[[#This Row],[추가]]-표3[[#This Row],[공제]]</f>
        <v>0</v>
      </c>
      <c r="M299" s="121"/>
      <c r="N299" s="122"/>
      <c r="O299" s="144">
        <f>표3[[#This Row],[총연차]]-표3[[#This Row],[사용분]]-표3[[#This Row],[연차수당분]]</f>
        <v>0</v>
      </c>
      <c r="P299" s="120"/>
      <c r="Q299" s="125"/>
      <c r="R299" s="125"/>
      <c r="S299" s="125"/>
      <c r="T299" s="125"/>
      <c r="U299" s="125"/>
      <c r="V299" s="125"/>
      <c r="W299" s="183"/>
      <c r="X299" s="125"/>
      <c r="Y299" s="125"/>
      <c r="Z299" s="125"/>
      <c r="AA299" s="139"/>
      <c r="AB299" s="123">
        <f>SUM(표3[[#This Row],[1월]:[12월]])</f>
        <v>0</v>
      </c>
      <c r="AC299" s="140"/>
    </row>
    <row r="300" spans="7:29" ht="21" customHeight="1" x14ac:dyDescent="0.3">
      <c r="G300" s="141"/>
      <c r="H300" s="120"/>
      <c r="I300" s="124"/>
      <c r="J300" s="125"/>
      <c r="K300" s="125"/>
      <c r="L300" s="136">
        <f>표3[[#This Row],[발생연차]]+표3[[#This Row],[추가]]-표3[[#This Row],[공제]]</f>
        <v>0</v>
      </c>
      <c r="M300" s="121"/>
      <c r="N300" s="122"/>
      <c r="O300" s="144">
        <f>표3[[#This Row],[총연차]]-표3[[#This Row],[사용분]]-표3[[#This Row],[연차수당분]]</f>
        <v>0</v>
      </c>
      <c r="P300" s="120"/>
      <c r="Q300" s="125"/>
      <c r="R300" s="125"/>
      <c r="S300" s="125"/>
      <c r="T300" s="125"/>
      <c r="U300" s="125"/>
      <c r="V300" s="125"/>
      <c r="W300" s="183"/>
      <c r="X300" s="125"/>
      <c r="Y300" s="125"/>
      <c r="Z300" s="125"/>
      <c r="AA300" s="139"/>
      <c r="AB300" s="123">
        <f>SUM(표3[[#This Row],[1월]:[12월]])</f>
        <v>0</v>
      </c>
      <c r="AC300" s="140"/>
    </row>
    <row r="301" spans="7:29" ht="21" customHeight="1" x14ac:dyDescent="0.3">
      <c r="G301" s="141"/>
      <c r="H301" s="120"/>
      <c r="I301" s="124"/>
      <c r="J301" s="125"/>
      <c r="K301" s="125"/>
      <c r="L301" s="136">
        <f>표3[[#This Row],[발생연차]]+표3[[#This Row],[추가]]-표3[[#This Row],[공제]]</f>
        <v>0</v>
      </c>
      <c r="M301" s="121"/>
      <c r="N301" s="122"/>
      <c r="O301" s="144">
        <f>표3[[#This Row],[총연차]]-표3[[#This Row],[사용분]]-표3[[#This Row],[연차수당분]]</f>
        <v>0</v>
      </c>
      <c r="P301" s="120"/>
      <c r="Q301" s="125"/>
      <c r="R301" s="125"/>
      <c r="S301" s="125"/>
      <c r="T301" s="125"/>
      <c r="U301" s="125"/>
      <c r="V301" s="125"/>
      <c r="W301" s="183"/>
      <c r="X301" s="125"/>
      <c r="Y301" s="125"/>
      <c r="Z301" s="125"/>
      <c r="AA301" s="139"/>
      <c r="AB301" s="123">
        <f>SUM(표3[[#This Row],[1월]:[12월]])</f>
        <v>0</v>
      </c>
      <c r="AC301" s="140"/>
    </row>
    <row r="302" spans="7:29" ht="21" customHeight="1" x14ac:dyDescent="0.3">
      <c r="G302" s="141"/>
      <c r="H302" s="120"/>
      <c r="I302" s="124"/>
      <c r="J302" s="125"/>
      <c r="K302" s="125"/>
      <c r="L302" s="136">
        <f>표3[[#This Row],[발생연차]]+표3[[#This Row],[추가]]-표3[[#This Row],[공제]]</f>
        <v>0</v>
      </c>
      <c r="M302" s="121"/>
      <c r="N302" s="122"/>
      <c r="O302" s="144">
        <f>표3[[#This Row],[총연차]]-표3[[#This Row],[사용분]]-표3[[#This Row],[연차수당분]]</f>
        <v>0</v>
      </c>
      <c r="P302" s="120"/>
      <c r="Q302" s="125"/>
      <c r="R302" s="125"/>
      <c r="S302" s="125"/>
      <c r="T302" s="125"/>
      <c r="U302" s="125"/>
      <c r="V302" s="125"/>
      <c r="W302" s="183"/>
      <c r="X302" s="125"/>
      <c r="Y302" s="125"/>
      <c r="Z302" s="125"/>
      <c r="AA302" s="139"/>
      <c r="AB302" s="123">
        <f>SUM(표3[[#This Row],[1월]:[12월]])</f>
        <v>0</v>
      </c>
      <c r="AC302" s="140"/>
    </row>
    <row r="303" spans="7:29" ht="21" customHeight="1" x14ac:dyDescent="0.3">
      <c r="G303" s="141"/>
      <c r="H303" s="120"/>
      <c r="I303" s="124"/>
      <c r="J303" s="125"/>
      <c r="K303" s="125"/>
      <c r="L303" s="136">
        <f>표3[[#This Row],[발생연차]]+표3[[#This Row],[추가]]-표3[[#This Row],[공제]]</f>
        <v>0</v>
      </c>
      <c r="M303" s="121"/>
      <c r="N303" s="122"/>
      <c r="O303" s="144">
        <f>표3[[#This Row],[총연차]]-표3[[#This Row],[사용분]]-표3[[#This Row],[연차수당분]]</f>
        <v>0</v>
      </c>
      <c r="P303" s="120"/>
      <c r="Q303" s="125"/>
      <c r="R303" s="125"/>
      <c r="S303" s="125"/>
      <c r="T303" s="125"/>
      <c r="U303" s="125"/>
      <c r="V303" s="125"/>
      <c r="W303" s="183"/>
      <c r="X303" s="125"/>
      <c r="Y303" s="125"/>
      <c r="Z303" s="125"/>
      <c r="AA303" s="139"/>
      <c r="AB303" s="123">
        <f>SUM(표3[[#This Row],[1월]:[12월]])</f>
        <v>0</v>
      </c>
      <c r="AC303" s="140"/>
    </row>
    <row r="304" spans="7:29" ht="21" customHeight="1" x14ac:dyDescent="0.3">
      <c r="G304" s="141"/>
      <c r="H304" s="120"/>
      <c r="I304" s="124"/>
      <c r="J304" s="125"/>
      <c r="K304" s="125"/>
      <c r="L304" s="136">
        <f>표3[[#This Row],[발생연차]]+표3[[#This Row],[추가]]-표3[[#This Row],[공제]]</f>
        <v>0</v>
      </c>
      <c r="M304" s="121"/>
      <c r="N304" s="122"/>
      <c r="O304" s="144">
        <f>표3[[#This Row],[총연차]]-표3[[#This Row],[사용분]]-표3[[#This Row],[연차수당분]]</f>
        <v>0</v>
      </c>
      <c r="P304" s="120"/>
      <c r="Q304" s="125"/>
      <c r="R304" s="125"/>
      <c r="S304" s="125"/>
      <c r="T304" s="125"/>
      <c r="U304" s="125"/>
      <c r="V304" s="125"/>
      <c r="W304" s="183"/>
      <c r="X304" s="125"/>
      <c r="Y304" s="125"/>
      <c r="Z304" s="125"/>
      <c r="AA304" s="139"/>
      <c r="AB304" s="123">
        <f>SUM(표3[[#This Row],[1월]:[12월]])</f>
        <v>0</v>
      </c>
      <c r="AC304" s="140"/>
    </row>
    <row r="305" spans="7:29" ht="21" customHeight="1" x14ac:dyDescent="0.3">
      <c r="G305" s="141"/>
      <c r="H305" s="120"/>
      <c r="I305" s="124"/>
      <c r="J305" s="125"/>
      <c r="K305" s="125"/>
      <c r="L305" s="136">
        <f>표3[[#This Row],[발생연차]]+표3[[#This Row],[추가]]-표3[[#This Row],[공제]]</f>
        <v>0</v>
      </c>
      <c r="M305" s="121"/>
      <c r="N305" s="122"/>
      <c r="O305" s="144">
        <f>표3[[#This Row],[총연차]]-표3[[#This Row],[사용분]]-표3[[#This Row],[연차수당분]]</f>
        <v>0</v>
      </c>
      <c r="P305" s="120"/>
      <c r="Q305" s="125"/>
      <c r="R305" s="125"/>
      <c r="S305" s="125"/>
      <c r="T305" s="125"/>
      <c r="U305" s="125"/>
      <c r="V305" s="125"/>
      <c r="W305" s="183"/>
      <c r="X305" s="125"/>
      <c r="Y305" s="125"/>
      <c r="Z305" s="125"/>
      <c r="AA305" s="139"/>
      <c r="AB305" s="123">
        <f>SUM(표3[[#This Row],[1월]:[12월]])</f>
        <v>0</v>
      </c>
      <c r="AC305" s="140"/>
    </row>
    <row r="306" spans="7:29" ht="21" customHeight="1" x14ac:dyDescent="0.3">
      <c r="G306" s="141"/>
      <c r="H306" s="120"/>
      <c r="I306" s="124"/>
      <c r="J306" s="125"/>
      <c r="K306" s="125"/>
      <c r="L306" s="136">
        <f>표3[[#This Row],[발생연차]]+표3[[#This Row],[추가]]-표3[[#This Row],[공제]]</f>
        <v>0</v>
      </c>
      <c r="M306" s="121"/>
      <c r="N306" s="122"/>
      <c r="O306" s="144">
        <f>표3[[#This Row],[총연차]]-표3[[#This Row],[사용분]]-표3[[#This Row],[연차수당분]]</f>
        <v>0</v>
      </c>
      <c r="P306" s="120"/>
      <c r="Q306" s="125"/>
      <c r="R306" s="125"/>
      <c r="S306" s="125"/>
      <c r="T306" s="125"/>
      <c r="U306" s="125"/>
      <c r="V306" s="125"/>
      <c r="W306" s="183"/>
      <c r="X306" s="125"/>
      <c r="Y306" s="125"/>
      <c r="Z306" s="125"/>
      <c r="AA306" s="139"/>
      <c r="AB306" s="123">
        <f>SUM(표3[[#This Row],[1월]:[12월]])</f>
        <v>0</v>
      </c>
      <c r="AC306" s="140"/>
    </row>
    <row r="307" spans="7:29" ht="21" customHeight="1" x14ac:dyDescent="0.3">
      <c r="G307" s="141"/>
      <c r="H307" s="120"/>
      <c r="I307" s="124"/>
      <c r="J307" s="125"/>
      <c r="K307" s="125"/>
      <c r="L307" s="136">
        <f>표3[[#This Row],[발생연차]]+표3[[#This Row],[추가]]-표3[[#This Row],[공제]]</f>
        <v>0</v>
      </c>
      <c r="M307" s="121"/>
      <c r="N307" s="122"/>
      <c r="O307" s="144">
        <f>표3[[#This Row],[총연차]]-표3[[#This Row],[사용분]]-표3[[#This Row],[연차수당분]]</f>
        <v>0</v>
      </c>
      <c r="P307" s="120"/>
      <c r="Q307" s="125"/>
      <c r="R307" s="125"/>
      <c r="S307" s="125"/>
      <c r="T307" s="125"/>
      <c r="U307" s="125"/>
      <c r="V307" s="125"/>
      <c r="W307" s="183"/>
      <c r="X307" s="125"/>
      <c r="Y307" s="125"/>
      <c r="Z307" s="125"/>
      <c r="AA307" s="139"/>
      <c r="AB307" s="123">
        <f>SUM(표3[[#This Row],[1월]:[12월]])</f>
        <v>0</v>
      </c>
      <c r="AC307" s="140"/>
    </row>
    <row r="308" spans="7:29" ht="21" customHeight="1" x14ac:dyDescent="0.3">
      <c r="G308" s="141"/>
      <c r="H308" s="120"/>
      <c r="I308" s="124"/>
      <c r="J308" s="125"/>
      <c r="K308" s="125"/>
      <c r="L308" s="136">
        <f>표3[[#This Row],[발생연차]]+표3[[#This Row],[추가]]-표3[[#This Row],[공제]]</f>
        <v>0</v>
      </c>
      <c r="M308" s="121"/>
      <c r="N308" s="122"/>
      <c r="O308" s="144">
        <f>표3[[#This Row],[총연차]]-표3[[#This Row],[사용분]]-표3[[#This Row],[연차수당분]]</f>
        <v>0</v>
      </c>
      <c r="P308" s="120"/>
      <c r="Q308" s="125"/>
      <c r="R308" s="125"/>
      <c r="S308" s="125"/>
      <c r="T308" s="125"/>
      <c r="U308" s="125"/>
      <c r="V308" s="125"/>
      <c r="W308" s="183"/>
      <c r="X308" s="125"/>
      <c r="Y308" s="125"/>
      <c r="Z308" s="125"/>
      <c r="AA308" s="139"/>
      <c r="AB308" s="123">
        <f>SUM(표3[[#This Row],[1월]:[12월]])</f>
        <v>0</v>
      </c>
      <c r="AC308" s="140"/>
    </row>
    <row r="309" spans="7:29" ht="21" customHeight="1" x14ac:dyDescent="0.3">
      <c r="G309" s="141"/>
      <c r="H309" s="120"/>
      <c r="I309" s="124"/>
      <c r="J309" s="125"/>
      <c r="K309" s="125"/>
      <c r="L309" s="136">
        <f>표3[[#This Row],[발생연차]]+표3[[#This Row],[추가]]-표3[[#This Row],[공제]]</f>
        <v>0</v>
      </c>
      <c r="M309" s="121"/>
      <c r="N309" s="122"/>
      <c r="O309" s="144">
        <f>표3[[#This Row],[총연차]]-표3[[#This Row],[사용분]]-표3[[#This Row],[연차수당분]]</f>
        <v>0</v>
      </c>
      <c r="P309" s="120"/>
      <c r="Q309" s="125"/>
      <c r="R309" s="125"/>
      <c r="S309" s="125"/>
      <c r="T309" s="125"/>
      <c r="U309" s="125"/>
      <c r="V309" s="125"/>
      <c r="W309" s="183"/>
      <c r="X309" s="125"/>
      <c r="Y309" s="125"/>
      <c r="Z309" s="125"/>
      <c r="AA309" s="139"/>
      <c r="AB309" s="123">
        <f>SUM(표3[[#This Row],[1월]:[12월]])</f>
        <v>0</v>
      </c>
      <c r="AC309" s="140"/>
    </row>
    <row r="310" spans="7:29" ht="21" customHeight="1" x14ac:dyDescent="0.3">
      <c r="G310" s="141"/>
      <c r="H310" s="120"/>
      <c r="I310" s="124"/>
      <c r="J310" s="125"/>
      <c r="K310" s="125"/>
      <c r="L310" s="136">
        <f>표3[[#This Row],[발생연차]]+표3[[#This Row],[추가]]-표3[[#This Row],[공제]]</f>
        <v>0</v>
      </c>
      <c r="M310" s="121"/>
      <c r="N310" s="122"/>
      <c r="O310" s="144">
        <f>표3[[#This Row],[총연차]]-표3[[#This Row],[사용분]]-표3[[#This Row],[연차수당분]]</f>
        <v>0</v>
      </c>
      <c r="P310" s="120"/>
      <c r="Q310" s="125"/>
      <c r="R310" s="125"/>
      <c r="S310" s="125"/>
      <c r="T310" s="125"/>
      <c r="U310" s="125"/>
      <c r="V310" s="125"/>
      <c r="W310" s="183"/>
      <c r="X310" s="125"/>
      <c r="Y310" s="125"/>
      <c r="Z310" s="125"/>
      <c r="AA310" s="139"/>
      <c r="AB310" s="123">
        <f>SUM(표3[[#This Row],[1월]:[12월]])</f>
        <v>0</v>
      </c>
      <c r="AC310" s="140"/>
    </row>
    <row r="311" spans="7:29" ht="21" customHeight="1" x14ac:dyDescent="0.3">
      <c r="G311" s="141"/>
      <c r="H311" s="120"/>
      <c r="I311" s="124"/>
      <c r="J311" s="125"/>
      <c r="K311" s="125"/>
      <c r="L311" s="136">
        <f>표3[[#This Row],[발생연차]]+표3[[#This Row],[추가]]-표3[[#This Row],[공제]]</f>
        <v>0</v>
      </c>
      <c r="M311" s="121"/>
      <c r="N311" s="122"/>
      <c r="O311" s="144">
        <f>표3[[#This Row],[총연차]]-표3[[#This Row],[사용분]]-표3[[#This Row],[연차수당분]]</f>
        <v>0</v>
      </c>
      <c r="P311" s="120"/>
      <c r="Q311" s="125"/>
      <c r="R311" s="125"/>
      <c r="S311" s="125"/>
      <c r="T311" s="125"/>
      <c r="U311" s="125"/>
      <c r="V311" s="125"/>
      <c r="W311" s="183"/>
      <c r="X311" s="125"/>
      <c r="Y311" s="125"/>
      <c r="Z311" s="125"/>
      <c r="AA311" s="139"/>
      <c r="AB311" s="123">
        <f>SUM(표3[[#This Row],[1월]:[12월]])</f>
        <v>0</v>
      </c>
      <c r="AC311" s="140"/>
    </row>
    <row r="312" spans="7:29" ht="21" customHeight="1" x14ac:dyDescent="0.3">
      <c r="G312" s="141"/>
      <c r="H312" s="120"/>
      <c r="I312" s="124"/>
      <c r="J312" s="125"/>
      <c r="K312" s="125"/>
      <c r="L312" s="136">
        <f>표3[[#This Row],[발생연차]]+표3[[#This Row],[추가]]-표3[[#This Row],[공제]]</f>
        <v>0</v>
      </c>
      <c r="M312" s="121"/>
      <c r="N312" s="122"/>
      <c r="O312" s="144">
        <f>표3[[#This Row],[총연차]]-표3[[#This Row],[사용분]]-표3[[#This Row],[연차수당분]]</f>
        <v>0</v>
      </c>
      <c r="P312" s="120"/>
      <c r="Q312" s="125"/>
      <c r="R312" s="125"/>
      <c r="S312" s="125"/>
      <c r="T312" s="125"/>
      <c r="U312" s="125"/>
      <c r="V312" s="125"/>
      <c r="W312" s="183"/>
      <c r="X312" s="125"/>
      <c r="Y312" s="125"/>
      <c r="Z312" s="125"/>
      <c r="AA312" s="139"/>
      <c r="AB312" s="123">
        <f>SUM(표3[[#This Row],[1월]:[12월]])</f>
        <v>0</v>
      </c>
      <c r="AC312" s="140"/>
    </row>
    <row r="313" spans="7:29" ht="21" customHeight="1" x14ac:dyDescent="0.3">
      <c r="G313" s="141"/>
      <c r="H313" s="120"/>
      <c r="I313" s="124"/>
      <c r="J313" s="125"/>
      <c r="K313" s="125"/>
      <c r="L313" s="136">
        <f>표3[[#This Row],[발생연차]]+표3[[#This Row],[추가]]-표3[[#This Row],[공제]]</f>
        <v>0</v>
      </c>
      <c r="M313" s="121"/>
      <c r="N313" s="122"/>
      <c r="O313" s="144">
        <f>표3[[#This Row],[총연차]]-표3[[#This Row],[사용분]]-표3[[#This Row],[연차수당분]]</f>
        <v>0</v>
      </c>
      <c r="P313" s="120"/>
      <c r="Q313" s="125"/>
      <c r="R313" s="125"/>
      <c r="S313" s="125"/>
      <c r="T313" s="125"/>
      <c r="U313" s="125"/>
      <c r="V313" s="125"/>
      <c r="W313" s="183"/>
      <c r="X313" s="125"/>
      <c r="Y313" s="125"/>
      <c r="Z313" s="125"/>
      <c r="AA313" s="139"/>
      <c r="AB313" s="123">
        <f>SUM(표3[[#This Row],[1월]:[12월]])</f>
        <v>0</v>
      </c>
      <c r="AC313" s="140"/>
    </row>
    <row r="314" spans="7:29" ht="21" customHeight="1" x14ac:dyDescent="0.3">
      <c r="G314" s="141"/>
      <c r="H314" s="120"/>
      <c r="I314" s="124"/>
      <c r="J314" s="125"/>
      <c r="K314" s="125"/>
      <c r="L314" s="136">
        <f>표3[[#This Row],[발생연차]]+표3[[#This Row],[추가]]-표3[[#This Row],[공제]]</f>
        <v>0</v>
      </c>
      <c r="M314" s="121"/>
      <c r="N314" s="122"/>
      <c r="O314" s="144">
        <f>표3[[#This Row],[총연차]]-표3[[#This Row],[사용분]]-표3[[#This Row],[연차수당분]]</f>
        <v>0</v>
      </c>
      <c r="P314" s="120"/>
      <c r="Q314" s="125"/>
      <c r="R314" s="125"/>
      <c r="S314" s="125"/>
      <c r="T314" s="125"/>
      <c r="U314" s="125"/>
      <c r="V314" s="125"/>
      <c r="W314" s="183"/>
      <c r="X314" s="125"/>
      <c r="Y314" s="125"/>
      <c r="Z314" s="125"/>
      <c r="AA314" s="139"/>
      <c r="AB314" s="123">
        <f>SUM(표3[[#This Row],[1월]:[12월]])</f>
        <v>0</v>
      </c>
      <c r="AC314" s="140"/>
    </row>
    <row r="315" spans="7:29" ht="21" customHeight="1" x14ac:dyDescent="0.3">
      <c r="G315" s="141"/>
      <c r="H315" s="120"/>
      <c r="I315" s="124"/>
      <c r="J315" s="125"/>
      <c r="K315" s="125"/>
      <c r="L315" s="136">
        <f>표3[[#This Row],[발생연차]]+표3[[#This Row],[추가]]-표3[[#This Row],[공제]]</f>
        <v>0</v>
      </c>
      <c r="M315" s="121"/>
      <c r="N315" s="122"/>
      <c r="O315" s="144">
        <f>표3[[#This Row],[총연차]]-표3[[#This Row],[사용분]]-표3[[#This Row],[연차수당분]]</f>
        <v>0</v>
      </c>
      <c r="P315" s="120"/>
      <c r="Q315" s="125"/>
      <c r="R315" s="125"/>
      <c r="S315" s="125"/>
      <c r="T315" s="125"/>
      <c r="U315" s="125"/>
      <c r="V315" s="125"/>
      <c r="W315" s="183"/>
      <c r="X315" s="125"/>
      <c r="Y315" s="125"/>
      <c r="Z315" s="125"/>
      <c r="AA315" s="139"/>
      <c r="AB315" s="123">
        <f>SUM(표3[[#This Row],[1월]:[12월]])</f>
        <v>0</v>
      </c>
      <c r="AC315" s="140"/>
    </row>
    <row r="316" spans="7:29" ht="21" customHeight="1" x14ac:dyDescent="0.3">
      <c r="G316" s="141"/>
      <c r="H316" s="120"/>
      <c r="I316" s="124"/>
      <c r="J316" s="125"/>
      <c r="K316" s="125"/>
      <c r="L316" s="136">
        <f>표3[[#This Row],[발생연차]]+표3[[#This Row],[추가]]-표3[[#This Row],[공제]]</f>
        <v>0</v>
      </c>
      <c r="M316" s="121"/>
      <c r="N316" s="122"/>
      <c r="O316" s="144">
        <f>표3[[#This Row],[총연차]]-표3[[#This Row],[사용분]]-표3[[#This Row],[연차수당분]]</f>
        <v>0</v>
      </c>
      <c r="P316" s="120"/>
      <c r="Q316" s="125"/>
      <c r="R316" s="125"/>
      <c r="S316" s="125"/>
      <c r="T316" s="125"/>
      <c r="U316" s="125"/>
      <c r="V316" s="125"/>
      <c r="W316" s="183"/>
      <c r="X316" s="125"/>
      <c r="Y316" s="125"/>
      <c r="Z316" s="125"/>
      <c r="AA316" s="139"/>
      <c r="AB316" s="123">
        <f>SUM(표3[[#This Row],[1월]:[12월]])</f>
        <v>0</v>
      </c>
      <c r="AC316" s="140"/>
    </row>
    <row r="317" spans="7:29" ht="21" customHeight="1" x14ac:dyDescent="0.3">
      <c r="G317" s="141"/>
      <c r="H317" s="120"/>
      <c r="I317" s="124"/>
      <c r="J317" s="125"/>
      <c r="K317" s="125"/>
      <c r="L317" s="136">
        <f>표3[[#This Row],[발생연차]]+표3[[#This Row],[추가]]-표3[[#This Row],[공제]]</f>
        <v>0</v>
      </c>
      <c r="M317" s="121"/>
      <c r="N317" s="122"/>
      <c r="O317" s="144">
        <f>표3[[#This Row],[총연차]]-표3[[#This Row],[사용분]]-표3[[#This Row],[연차수당분]]</f>
        <v>0</v>
      </c>
      <c r="P317" s="120"/>
      <c r="Q317" s="125"/>
      <c r="R317" s="125"/>
      <c r="S317" s="125"/>
      <c r="T317" s="125"/>
      <c r="U317" s="125"/>
      <c r="V317" s="125"/>
      <c r="W317" s="183"/>
      <c r="X317" s="125"/>
      <c r="Y317" s="125"/>
      <c r="Z317" s="125"/>
      <c r="AA317" s="139"/>
      <c r="AB317" s="123">
        <f>SUM(표3[[#This Row],[1월]:[12월]])</f>
        <v>0</v>
      </c>
      <c r="AC317" s="140"/>
    </row>
    <row r="318" spans="7:29" ht="21" customHeight="1" x14ac:dyDescent="0.3">
      <c r="G318" s="141"/>
      <c r="H318" s="120"/>
      <c r="I318" s="124"/>
      <c r="J318" s="125"/>
      <c r="K318" s="125"/>
      <c r="L318" s="136">
        <f>표3[[#This Row],[발생연차]]+표3[[#This Row],[추가]]-표3[[#This Row],[공제]]</f>
        <v>0</v>
      </c>
      <c r="M318" s="121"/>
      <c r="N318" s="122"/>
      <c r="O318" s="144">
        <f>표3[[#This Row],[총연차]]-표3[[#This Row],[사용분]]-표3[[#This Row],[연차수당분]]</f>
        <v>0</v>
      </c>
      <c r="P318" s="120"/>
      <c r="Q318" s="125"/>
      <c r="R318" s="125"/>
      <c r="S318" s="125"/>
      <c r="T318" s="125"/>
      <c r="U318" s="125"/>
      <c r="V318" s="125"/>
      <c r="W318" s="183"/>
      <c r="X318" s="125"/>
      <c r="Y318" s="125"/>
      <c r="Z318" s="125"/>
      <c r="AA318" s="139"/>
      <c r="AB318" s="123">
        <f>SUM(표3[[#This Row],[1월]:[12월]])</f>
        <v>0</v>
      </c>
      <c r="AC318" s="140"/>
    </row>
    <row r="319" spans="7:29" ht="21" customHeight="1" x14ac:dyDescent="0.3">
      <c r="G319" s="141"/>
      <c r="H319" s="120"/>
      <c r="I319" s="124"/>
      <c r="J319" s="125"/>
      <c r="K319" s="125"/>
      <c r="L319" s="136">
        <f>표3[[#This Row],[발생연차]]+표3[[#This Row],[추가]]-표3[[#This Row],[공제]]</f>
        <v>0</v>
      </c>
      <c r="M319" s="121"/>
      <c r="N319" s="122"/>
      <c r="O319" s="144">
        <f>표3[[#This Row],[총연차]]-표3[[#This Row],[사용분]]-표3[[#This Row],[연차수당분]]</f>
        <v>0</v>
      </c>
      <c r="P319" s="120"/>
      <c r="Q319" s="125"/>
      <c r="R319" s="125"/>
      <c r="S319" s="125"/>
      <c r="T319" s="125"/>
      <c r="U319" s="125"/>
      <c r="V319" s="125"/>
      <c r="W319" s="183"/>
      <c r="X319" s="125"/>
      <c r="Y319" s="125"/>
      <c r="Z319" s="125"/>
      <c r="AA319" s="139"/>
      <c r="AB319" s="123">
        <f>SUM(표3[[#This Row],[1월]:[12월]])</f>
        <v>0</v>
      </c>
      <c r="AC319" s="140"/>
    </row>
    <row r="320" spans="7:29" ht="21" customHeight="1" x14ac:dyDescent="0.3">
      <c r="G320" s="141"/>
      <c r="H320" s="120"/>
      <c r="I320" s="124"/>
      <c r="J320" s="125"/>
      <c r="K320" s="125"/>
      <c r="L320" s="136">
        <f>표3[[#This Row],[발생연차]]+표3[[#This Row],[추가]]-표3[[#This Row],[공제]]</f>
        <v>0</v>
      </c>
      <c r="M320" s="121"/>
      <c r="N320" s="122"/>
      <c r="O320" s="144">
        <f>표3[[#This Row],[총연차]]-표3[[#This Row],[사용분]]-표3[[#This Row],[연차수당분]]</f>
        <v>0</v>
      </c>
      <c r="P320" s="120"/>
      <c r="Q320" s="125"/>
      <c r="R320" s="125"/>
      <c r="S320" s="125"/>
      <c r="T320" s="125"/>
      <c r="U320" s="125"/>
      <c r="V320" s="125"/>
      <c r="W320" s="183"/>
      <c r="X320" s="125"/>
      <c r="Y320" s="125"/>
      <c r="Z320" s="125"/>
      <c r="AA320" s="139"/>
      <c r="AB320" s="123">
        <f>SUM(표3[[#This Row],[1월]:[12월]])</f>
        <v>0</v>
      </c>
      <c r="AC320" s="140"/>
    </row>
    <row r="321" spans="7:29" ht="21" customHeight="1" x14ac:dyDescent="0.3">
      <c r="G321" s="141"/>
      <c r="H321" s="120"/>
      <c r="I321" s="124"/>
      <c r="J321" s="125"/>
      <c r="K321" s="125"/>
      <c r="L321" s="136">
        <f>표3[[#This Row],[발생연차]]+표3[[#This Row],[추가]]-표3[[#This Row],[공제]]</f>
        <v>0</v>
      </c>
      <c r="M321" s="121"/>
      <c r="N321" s="122"/>
      <c r="O321" s="144">
        <f>표3[[#This Row],[총연차]]-표3[[#This Row],[사용분]]-표3[[#This Row],[연차수당분]]</f>
        <v>0</v>
      </c>
      <c r="P321" s="120"/>
      <c r="Q321" s="125"/>
      <c r="R321" s="125"/>
      <c r="S321" s="125"/>
      <c r="T321" s="125"/>
      <c r="U321" s="125"/>
      <c r="V321" s="125"/>
      <c r="W321" s="183"/>
      <c r="X321" s="125"/>
      <c r="Y321" s="125"/>
      <c r="Z321" s="125"/>
      <c r="AA321" s="139"/>
      <c r="AB321" s="123">
        <f>SUM(표3[[#This Row],[1월]:[12월]])</f>
        <v>0</v>
      </c>
      <c r="AC321" s="140"/>
    </row>
    <row r="322" spans="7:29" ht="21" customHeight="1" x14ac:dyDescent="0.3">
      <c r="G322" s="141"/>
      <c r="H322" s="120"/>
      <c r="I322" s="124"/>
      <c r="J322" s="125"/>
      <c r="K322" s="125"/>
      <c r="L322" s="136">
        <f>표3[[#This Row],[발생연차]]+표3[[#This Row],[추가]]-표3[[#This Row],[공제]]</f>
        <v>0</v>
      </c>
      <c r="M322" s="121"/>
      <c r="N322" s="122"/>
      <c r="O322" s="144">
        <f>표3[[#This Row],[총연차]]-표3[[#This Row],[사용분]]-표3[[#This Row],[연차수당분]]</f>
        <v>0</v>
      </c>
      <c r="P322" s="120"/>
      <c r="Q322" s="125"/>
      <c r="R322" s="125"/>
      <c r="S322" s="125"/>
      <c r="T322" s="125"/>
      <c r="U322" s="125"/>
      <c r="V322" s="125"/>
      <c r="W322" s="183"/>
      <c r="X322" s="125"/>
      <c r="Y322" s="125"/>
      <c r="Z322" s="125"/>
      <c r="AA322" s="139"/>
      <c r="AB322" s="123">
        <f>SUM(표3[[#This Row],[1월]:[12월]])</f>
        <v>0</v>
      </c>
      <c r="AC322" s="140"/>
    </row>
    <row r="323" spans="7:29" ht="21" customHeight="1" x14ac:dyDescent="0.3">
      <c r="G323" s="141"/>
      <c r="H323" s="120"/>
      <c r="I323" s="124"/>
      <c r="J323" s="125"/>
      <c r="K323" s="125"/>
      <c r="L323" s="136">
        <f>표3[[#This Row],[발생연차]]+표3[[#This Row],[추가]]-표3[[#This Row],[공제]]</f>
        <v>0</v>
      </c>
      <c r="M323" s="121"/>
      <c r="N323" s="122"/>
      <c r="O323" s="144">
        <f>표3[[#This Row],[총연차]]-표3[[#This Row],[사용분]]-표3[[#This Row],[연차수당분]]</f>
        <v>0</v>
      </c>
      <c r="P323" s="120"/>
      <c r="Q323" s="125"/>
      <c r="R323" s="125"/>
      <c r="S323" s="125"/>
      <c r="T323" s="125"/>
      <c r="U323" s="125"/>
      <c r="V323" s="125"/>
      <c r="W323" s="183"/>
      <c r="X323" s="125"/>
      <c r="Y323" s="125"/>
      <c r="Z323" s="125"/>
      <c r="AA323" s="139"/>
      <c r="AB323" s="123">
        <f>SUM(표3[[#This Row],[1월]:[12월]])</f>
        <v>0</v>
      </c>
      <c r="AC323" s="140"/>
    </row>
    <row r="324" spans="7:29" ht="21" customHeight="1" x14ac:dyDescent="0.3">
      <c r="G324" s="141"/>
      <c r="H324" s="120"/>
      <c r="I324" s="124"/>
      <c r="J324" s="125"/>
      <c r="K324" s="125"/>
      <c r="L324" s="136">
        <f>표3[[#This Row],[발생연차]]+표3[[#This Row],[추가]]-표3[[#This Row],[공제]]</f>
        <v>0</v>
      </c>
      <c r="M324" s="121"/>
      <c r="N324" s="122"/>
      <c r="O324" s="144">
        <f>표3[[#This Row],[총연차]]-표3[[#This Row],[사용분]]-표3[[#This Row],[연차수당분]]</f>
        <v>0</v>
      </c>
      <c r="P324" s="120"/>
      <c r="Q324" s="125"/>
      <c r="R324" s="125"/>
      <c r="S324" s="125"/>
      <c r="T324" s="125"/>
      <c r="U324" s="125"/>
      <c r="V324" s="125"/>
      <c r="W324" s="183"/>
      <c r="X324" s="125"/>
      <c r="Y324" s="125"/>
      <c r="Z324" s="125"/>
      <c r="AA324" s="139"/>
      <c r="AB324" s="123">
        <f>SUM(표3[[#This Row],[1월]:[12월]])</f>
        <v>0</v>
      </c>
      <c r="AC324" s="140"/>
    </row>
    <row r="325" spans="7:29" ht="21" customHeight="1" x14ac:dyDescent="0.3">
      <c r="G325" s="141"/>
      <c r="H325" s="120"/>
      <c r="I325" s="124"/>
      <c r="J325" s="125"/>
      <c r="K325" s="125"/>
      <c r="L325" s="136">
        <f>표3[[#This Row],[발생연차]]+표3[[#This Row],[추가]]-표3[[#This Row],[공제]]</f>
        <v>0</v>
      </c>
      <c r="M325" s="121"/>
      <c r="N325" s="122"/>
      <c r="O325" s="144">
        <f>표3[[#This Row],[총연차]]-표3[[#This Row],[사용분]]-표3[[#This Row],[연차수당분]]</f>
        <v>0</v>
      </c>
      <c r="P325" s="120"/>
      <c r="Q325" s="125"/>
      <c r="R325" s="125"/>
      <c r="S325" s="125"/>
      <c r="T325" s="125"/>
      <c r="U325" s="125"/>
      <c r="V325" s="125"/>
      <c r="W325" s="183"/>
      <c r="X325" s="125"/>
      <c r="Y325" s="125"/>
      <c r="Z325" s="125"/>
      <c r="AA325" s="139"/>
      <c r="AB325" s="123">
        <f>SUM(표3[[#This Row],[1월]:[12월]])</f>
        <v>0</v>
      </c>
      <c r="AC325" s="140"/>
    </row>
    <row r="326" spans="7:29" ht="21" customHeight="1" x14ac:dyDescent="0.3">
      <c r="G326" s="141"/>
      <c r="H326" s="120"/>
      <c r="I326" s="124"/>
      <c r="J326" s="125"/>
      <c r="K326" s="125"/>
      <c r="L326" s="136">
        <f>표3[[#This Row],[발생연차]]+표3[[#This Row],[추가]]-표3[[#This Row],[공제]]</f>
        <v>0</v>
      </c>
      <c r="M326" s="121"/>
      <c r="N326" s="122"/>
      <c r="O326" s="144">
        <f>표3[[#This Row],[총연차]]-표3[[#This Row],[사용분]]-표3[[#This Row],[연차수당분]]</f>
        <v>0</v>
      </c>
      <c r="P326" s="120"/>
      <c r="Q326" s="125"/>
      <c r="R326" s="125"/>
      <c r="S326" s="125"/>
      <c r="T326" s="125"/>
      <c r="U326" s="125"/>
      <c r="V326" s="125"/>
      <c r="W326" s="183"/>
      <c r="X326" s="125"/>
      <c r="Y326" s="125"/>
      <c r="Z326" s="125"/>
      <c r="AA326" s="139"/>
      <c r="AB326" s="123">
        <f>SUM(표3[[#This Row],[1월]:[12월]])</f>
        <v>0</v>
      </c>
      <c r="AC326" s="140"/>
    </row>
    <row r="327" spans="7:29" ht="21" customHeight="1" x14ac:dyDescent="0.3">
      <c r="G327" s="141"/>
      <c r="H327" s="120"/>
      <c r="I327" s="124"/>
      <c r="J327" s="125"/>
      <c r="K327" s="125"/>
      <c r="L327" s="136">
        <f>표3[[#This Row],[발생연차]]+표3[[#This Row],[추가]]-표3[[#This Row],[공제]]</f>
        <v>0</v>
      </c>
      <c r="M327" s="121"/>
      <c r="N327" s="122"/>
      <c r="O327" s="144">
        <f>표3[[#This Row],[총연차]]-표3[[#This Row],[사용분]]-표3[[#This Row],[연차수당분]]</f>
        <v>0</v>
      </c>
      <c r="P327" s="120"/>
      <c r="Q327" s="125"/>
      <c r="R327" s="125"/>
      <c r="S327" s="125"/>
      <c r="T327" s="125"/>
      <c r="U327" s="125"/>
      <c r="V327" s="125"/>
      <c r="W327" s="183"/>
      <c r="X327" s="125"/>
      <c r="Y327" s="125"/>
      <c r="Z327" s="125"/>
      <c r="AA327" s="139"/>
      <c r="AB327" s="123">
        <f>SUM(표3[[#This Row],[1월]:[12월]])</f>
        <v>0</v>
      </c>
      <c r="AC327" s="140"/>
    </row>
    <row r="328" spans="7:29" ht="21" customHeight="1" x14ac:dyDescent="0.3">
      <c r="G328" s="141"/>
      <c r="H328" s="120"/>
      <c r="I328" s="124"/>
      <c r="J328" s="125"/>
      <c r="K328" s="125"/>
      <c r="L328" s="136">
        <f>표3[[#This Row],[발생연차]]+표3[[#This Row],[추가]]-표3[[#This Row],[공제]]</f>
        <v>0</v>
      </c>
      <c r="M328" s="121"/>
      <c r="N328" s="122"/>
      <c r="O328" s="144">
        <f>표3[[#This Row],[총연차]]-표3[[#This Row],[사용분]]-표3[[#This Row],[연차수당분]]</f>
        <v>0</v>
      </c>
      <c r="P328" s="120"/>
      <c r="Q328" s="125"/>
      <c r="R328" s="125"/>
      <c r="S328" s="125"/>
      <c r="T328" s="125"/>
      <c r="U328" s="125"/>
      <c r="V328" s="125"/>
      <c r="W328" s="183"/>
      <c r="X328" s="125"/>
      <c r="Y328" s="125"/>
      <c r="Z328" s="125"/>
      <c r="AA328" s="139"/>
      <c r="AB328" s="123">
        <f>SUM(표3[[#This Row],[1월]:[12월]])</f>
        <v>0</v>
      </c>
      <c r="AC328" s="140"/>
    </row>
    <row r="329" spans="7:29" ht="21" customHeight="1" x14ac:dyDescent="0.3">
      <c r="G329" s="141"/>
      <c r="H329" s="120"/>
      <c r="I329" s="124"/>
      <c r="J329" s="125"/>
      <c r="K329" s="125"/>
      <c r="L329" s="136">
        <f>표3[[#This Row],[발생연차]]+표3[[#This Row],[추가]]-표3[[#This Row],[공제]]</f>
        <v>0</v>
      </c>
      <c r="M329" s="121"/>
      <c r="N329" s="122"/>
      <c r="O329" s="144">
        <f>표3[[#This Row],[총연차]]-표3[[#This Row],[사용분]]-표3[[#This Row],[연차수당분]]</f>
        <v>0</v>
      </c>
      <c r="P329" s="120"/>
      <c r="Q329" s="125"/>
      <c r="R329" s="125"/>
      <c r="S329" s="125"/>
      <c r="T329" s="125"/>
      <c r="U329" s="125"/>
      <c r="V329" s="125"/>
      <c r="W329" s="183"/>
      <c r="X329" s="125"/>
      <c r="Y329" s="125"/>
      <c r="Z329" s="125"/>
      <c r="AA329" s="139"/>
      <c r="AB329" s="123">
        <f>SUM(표3[[#This Row],[1월]:[12월]])</f>
        <v>0</v>
      </c>
      <c r="AC329" s="140"/>
    </row>
    <row r="330" spans="7:29" ht="21" customHeight="1" x14ac:dyDescent="0.3">
      <c r="G330" s="141"/>
      <c r="H330" s="120"/>
      <c r="I330" s="124"/>
      <c r="J330" s="125"/>
      <c r="K330" s="125"/>
      <c r="L330" s="136">
        <f>표3[[#This Row],[발생연차]]+표3[[#This Row],[추가]]-표3[[#This Row],[공제]]</f>
        <v>0</v>
      </c>
      <c r="M330" s="121"/>
      <c r="N330" s="122"/>
      <c r="O330" s="144">
        <f>표3[[#This Row],[총연차]]-표3[[#This Row],[사용분]]-표3[[#This Row],[연차수당분]]</f>
        <v>0</v>
      </c>
      <c r="P330" s="120"/>
      <c r="Q330" s="125"/>
      <c r="R330" s="125"/>
      <c r="S330" s="125"/>
      <c r="T330" s="125"/>
      <c r="U330" s="125"/>
      <c r="V330" s="125"/>
      <c r="W330" s="183"/>
      <c r="X330" s="125"/>
      <c r="Y330" s="125"/>
      <c r="Z330" s="125"/>
      <c r="AA330" s="139"/>
      <c r="AB330" s="123">
        <f>SUM(표3[[#This Row],[1월]:[12월]])</f>
        <v>0</v>
      </c>
      <c r="AC330" s="140"/>
    </row>
    <row r="331" spans="7:29" ht="21" customHeight="1" x14ac:dyDescent="0.3">
      <c r="G331" s="141"/>
      <c r="H331" s="120"/>
      <c r="I331" s="124"/>
      <c r="J331" s="125"/>
      <c r="K331" s="125"/>
      <c r="L331" s="136">
        <f>표3[[#This Row],[발생연차]]+표3[[#This Row],[추가]]-표3[[#This Row],[공제]]</f>
        <v>0</v>
      </c>
      <c r="M331" s="121"/>
      <c r="N331" s="122"/>
      <c r="O331" s="144">
        <f>표3[[#This Row],[총연차]]-표3[[#This Row],[사용분]]-표3[[#This Row],[연차수당분]]</f>
        <v>0</v>
      </c>
      <c r="P331" s="120"/>
      <c r="Q331" s="125"/>
      <c r="R331" s="125"/>
      <c r="S331" s="125"/>
      <c r="T331" s="125"/>
      <c r="U331" s="125"/>
      <c r="V331" s="125"/>
      <c r="W331" s="183"/>
      <c r="X331" s="125"/>
      <c r="Y331" s="125"/>
      <c r="Z331" s="125"/>
      <c r="AA331" s="139"/>
      <c r="AB331" s="123">
        <f>SUM(표3[[#This Row],[1월]:[12월]])</f>
        <v>0</v>
      </c>
      <c r="AC331" s="140"/>
    </row>
    <row r="332" spans="7:29" ht="21" customHeight="1" x14ac:dyDescent="0.3">
      <c r="G332" s="141"/>
      <c r="H332" s="120"/>
      <c r="I332" s="124"/>
      <c r="J332" s="125"/>
      <c r="K332" s="125"/>
      <c r="L332" s="136">
        <f>표3[[#This Row],[발생연차]]+표3[[#This Row],[추가]]-표3[[#This Row],[공제]]</f>
        <v>0</v>
      </c>
      <c r="M332" s="121"/>
      <c r="N332" s="122"/>
      <c r="O332" s="144">
        <f>표3[[#This Row],[총연차]]-표3[[#This Row],[사용분]]-표3[[#This Row],[연차수당분]]</f>
        <v>0</v>
      </c>
      <c r="P332" s="120"/>
      <c r="Q332" s="125"/>
      <c r="R332" s="125"/>
      <c r="S332" s="125"/>
      <c r="T332" s="125"/>
      <c r="U332" s="125"/>
      <c r="V332" s="125"/>
      <c r="W332" s="183"/>
      <c r="X332" s="125"/>
      <c r="Y332" s="125"/>
      <c r="Z332" s="125"/>
      <c r="AA332" s="139"/>
      <c r="AB332" s="123">
        <f>SUM(표3[[#This Row],[1월]:[12월]])</f>
        <v>0</v>
      </c>
      <c r="AC332" s="140"/>
    </row>
    <row r="333" spans="7:29" ht="21" customHeight="1" x14ac:dyDescent="0.3">
      <c r="G333" s="141"/>
      <c r="H333" s="120"/>
      <c r="I333" s="124"/>
      <c r="J333" s="125"/>
      <c r="K333" s="125"/>
      <c r="L333" s="136">
        <f>표3[[#This Row],[발생연차]]+표3[[#This Row],[추가]]-표3[[#This Row],[공제]]</f>
        <v>0</v>
      </c>
      <c r="M333" s="121"/>
      <c r="N333" s="122"/>
      <c r="O333" s="144">
        <f>표3[[#This Row],[총연차]]-표3[[#This Row],[사용분]]-표3[[#This Row],[연차수당분]]</f>
        <v>0</v>
      </c>
      <c r="P333" s="120"/>
      <c r="Q333" s="125"/>
      <c r="R333" s="125"/>
      <c r="S333" s="125"/>
      <c r="T333" s="125"/>
      <c r="U333" s="125"/>
      <c r="V333" s="125"/>
      <c r="W333" s="183"/>
      <c r="X333" s="125"/>
      <c r="Y333" s="125"/>
      <c r="Z333" s="125"/>
      <c r="AA333" s="139"/>
      <c r="AB333" s="123">
        <f>SUM(표3[[#This Row],[1월]:[12월]])</f>
        <v>0</v>
      </c>
      <c r="AC333" s="140"/>
    </row>
    <row r="334" spans="7:29" ht="21" customHeight="1" x14ac:dyDescent="0.3">
      <c r="G334" s="141"/>
      <c r="H334" s="120"/>
      <c r="I334" s="124"/>
      <c r="J334" s="125"/>
      <c r="K334" s="125"/>
      <c r="L334" s="136">
        <f>표3[[#This Row],[발생연차]]+표3[[#This Row],[추가]]-표3[[#This Row],[공제]]</f>
        <v>0</v>
      </c>
      <c r="M334" s="121"/>
      <c r="N334" s="122"/>
      <c r="O334" s="144">
        <f>표3[[#This Row],[총연차]]-표3[[#This Row],[사용분]]-표3[[#This Row],[연차수당분]]</f>
        <v>0</v>
      </c>
      <c r="P334" s="120"/>
      <c r="Q334" s="125"/>
      <c r="R334" s="125"/>
      <c r="S334" s="125"/>
      <c r="T334" s="125"/>
      <c r="U334" s="125"/>
      <c r="V334" s="125"/>
      <c r="W334" s="183"/>
      <c r="X334" s="125"/>
      <c r="Y334" s="125"/>
      <c r="Z334" s="125"/>
      <c r="AA334" s="139"/>
      <c r="AB334" s="123">
        <f>SUM(표3[[#This Row],[1월]:[12월]])</f>
        <v>0</v>
      </c>
      <c r="AC334" s="140"/>
    </row>
    <row r="335" spans="7:29" ht="21" customHeight="1" x14ac:dyDescent="0.3">
      <c r="G335" s="141"/>
      <c r="H335" s="120"/>
      <c r="I335" s="124"/>
      <c r="J335" s="125"/>
      <c r="K335" s="125"/>
      <c r="L335" s="136">
        <f>표3[[#This Row],[발생연차]]+표3[[#This Row],[추가]]-표3[[#This Row],[공제]]</f>
        <v>0</v>
      </c>
      <c r="M335" s="121"/>
      <c r="N335" s="122"/>
      <c r="O335" s="144">
        <f>표3[[#This Row],[총연차]]-표3[[#This Row],[사용분]]-표3[[#This Row],[연차수당분]]</f>
        <v>0</v>
      </c>
      <c r="P335" s="120"/>
      <c r="Q335" s="125"/>
      <c r="R335" s="125"/>
      <c r="S335" s="125"/>
      <c r="T335" s="125"/>
      <c r="U335" s="125"/>
      <c r="V335" s="125"/>
      <c r="W335" s="183"/>
      <c r="X335" s="125"/>
      <c r="Y335" s="125"/>
      <c r="Z335" s="125"/>
      <c r="AA335" s="139"/>
      <c r="AB335" s="123">
        <f>SUM(표3[[#This Row],[1월]:[12월]])</f>
        <v>0</v>
      </c>
      <c r="AC335" s="140"/>
    </row>
    <row r="336" spans="7:29" ht="21" customHeight="1" x14ac:dyDescent="0.3">
      <c r="G336" s="141"/>
      <c r="H336" s="120"/>
      <c r="I336" s="124"/>
      <c r="J336" s="125"/>
      <c r="K336" s="125"/>
      <c r="L336" s="136">
        <f>표3[[#This Row],[발생연차]]+표3[[#This Row],[추가]]-표3[[#This Row],[공제]]</f>
        <v>0</v>
      </c>
      <c r="M336" s="121"/>
      <c r="N336" s="122"/>
      <c r="O336" s="144">
        <f>표3[[#This Row],[총연차]]-표3[[#This Row],[사용분]]-표3[[#This Row],[연차수당분]]</f>
        <v>0</v>
      </c>
      <c r="P336" s="120"/>
      <c r="Q336" s="125"/>
      <c r="R336" s="125"/>
      <c r="S336" s="125"/>
      <c r="T336" s="125"/>
      <c r="U336" s="125"/>
      <c r="V336" s="125"/>
      <c r="W336" s="183"/>
      <c r="X336" s="125"/>
      <c r="Y336" s="125"/>
      <c r="Z336" s="125"/>
      <c r="AA336" s="139"/>
      <c r="AB336" s="123">
        <f>SUM(표3[[#This Row],[1월]:[12월]])</f>
        <v>0</v>
      </c>
      <c r="AC336" s="140"/>
    </row>
    <row r="337" spans="7:29" ht="21" customHeight="1" x14ac:dyDescent="0.3">
      <c r="G337" s="141"/>
      <c r="H337" s="120"/>
      <c r="I337" s="124"/>
      <c r="J337" s="125"/>
      <c r="K337" s="125"/>
      <c r="L337" s="136">
        <f>표3[[#This Row],[발생연차]]+표3[[#This Row],[추가]]-표3[[#This Row],[공제]]</f>
        <v>0</v>
      </c>
      <c r="M337" s="121"/>
      <c r="N337" s="122"/>
      <c r="O337" s="144">
        <f>표3[[#This Row],[총연차]]-표3[[#This Row],[사용분]]-표3[[#This Row],[연차수당분]]</f>
        <v>0</v>
      </c>
      <c r="P337" s="120"/>
      <c r="Q337" s="125"/>
      <c r="R337" s="125"/>
      <c r="S337" s="125"/>
      <c r="T337" s="125"/>
      <c r="U337" s="125"/>
      <c r="V337" s="125"/>
      <c r="W337" s="183"/>
      <c r="X337" s="125"/>
      <c r="Y337" s="125"/>
      <c r="Z337" s="125"/>
      <c r="AA337" s="139"/>
      <c r="AB337" s="123">
        <f>SUM(표3[[#This Row],[1월]:[12월]])</f>
        <v>0</v>
      </c>
      <c r="AC337" s="140"/>
    </row>
    <row r="338" spans="7:29" ht="21" customHeight="1" x14ac:dyDescent="0.3">
      <c r="G338" s="141"/>
      <c r="H338" s="120"/>
      <c r="I338" s="124"/>
      <c r="J338" s="125"/>
      <c r="K338" s="125"/>
      <c r="L338" s="136">
        <f>표3[[#This Row],[발생연차]]+표3[[#This Row],[추가]]-표3[[#This Row],[공제]]</f>
        <v>0</v>
      </c>
      <c r="M338" s="121"/>
      <c r="N338" s="122"/>
      <c r="O338" s="144">
        <f>표3[[#This Row],[총연차]]-표3[[#This Row],[사용분]]-표3[[#This Row],[연차수당분]]</f>
        <v>0</v>
      </c>
      <c r="P338" s="120"/>
      <c r="Q338" s="125"/>
      <c r="R338" s="125"/>
      <c r="S338" s="125"/>
      <c r="T338" s="125"/>
      <c r="U338" s="125"/>
      <c r="V338" s="125"/>
      <c r="W338" s="183"/>
      <c r="X338" s="125"/>
      <c r="Y338" s="125"/>
      <c r="Z338" s="125"/>
      <c r="AA338" s="139"/>
      <c r="AB338" s="123">
        <f>SUM(표3[[#This Row],[1월]:[12월]])</f>
        <v>0</v>
      </c>
      <c r="AC338" s="140"/>
    </row>
    <row r="339" spans="7:29" ht="21" customHeight="1" x14ac:dyDescent="0.3">
      <c r="G339" s="141"/>
      <c r="H339" s="120"/>
      <c r="I339" s="124"/>
      <c r="J339" s="125"/>
      <c r="K339" s="125"/>
      <c r="L339" s="136">
        <f>표3[[#This Row],[발생연차]]+표3[[#This Row],[추가]]-표3[[#This Row],[공제]]</f>
        <v>0</v>
      </c>
      <c r="M339" s="121"/>
      <c r="N339" s="122"/>
      <c r="O339" s="144">
        <f>표3[[#This Row],[총연차]]-표3[[#This Row],[사용분]]-표3[[#This Row],[연차수당분]]</f>
        <v>0</v>
      </c>
      <c r="P339" s="120"/>
      <c r="Q339" s="125"/>
      <c r="R339" s="125"/>
      <c r="S339" s="125"/>
      <c r="T339" s="125"/>
      <c r="U339" s="125"/>
      <c r="V339" s="125"/>
      <c r="W339" s="183"/>
      <c r="X339" s="125"/>
      <c r="Y339" s="125"/>
      <c r="Z339" s="125"/>
      <c r="AA339" s="139"/>
      <c r="AB339" s="123">
        <f>SUM(표3[[#This Row],[1월]:[12월]])</f>
        <v>0</v>
      </c>
      <c r="AC339" s="140"/>
    </row>
    <row r="340" spans="7:29" ht="21" customHeight="1" x14ac:dyDescent="0.3">
      <c r="G340" s="141"/>
      <c r="H340" s="120"/>
      <c r="I340" s="124"/>
      <c r="J340" s="125"/>
      <c r="K340" s="125"/>
      <c r="L340" s="136">
        <f>표3[[#This Row],[발생연차]]+표3[[#This Row],[추가]]-표3[[#This Row],[공제]]</f>
        <v>0</v>
      </c>
      <c r="M340" s="121"/>
      <c r="N340" s="122"/>
      <c r="O340" s="144">
        <f>표3[[#This Row],[총연차]]-표3[[#This Row],[사용분]]-표3[[#This Row],[연차수당분]]</f>
        <v>0</v>
      </c>
      <c r="P340" s="120"/>
      <c r="Q340" s="125"/>
      <c r="R340" s="125"/>
      <c r="S340" s="125"/>
      <c r="T340" s="125"/>
      <c r="U340" s="125"/>
      <c r="V340" s="125"/>
      <c r="W340" s="183"/>
      <c r="X340" s="125"/>
      <c r="Y340" s="125"/>
      <c r="Z340" s="125"/>
      <c r="AA340" s="139"/>
      <c r="AB340" s="123">
        <f>SUM(표3[[#This Row],[1월]:[12월]])</f>
        <v>0</v>
      </c>
      <c r="AC340" s="140"/>
    </row>
    <row r="341" spans="7:29" ht="21" customHeight="1" x14ac:dyDescent="0.3">
      <c r="G341" s="141"/>
      <c r="H341" s="120"/>
      <c r="I341" s="124"/>
      <c r="J341" s="125"/>
      <c r="K341" s="125"/>
      <c r="L341" s="136">
        <f>표3[[#This Row],[발생연차]]+표3[[#This Row],[추가]]-표3[[#This Row],[공제]]</f>
        <v>0</v>
      </c>
      <c r="M341" s="121"/>
      <c r="N341" s="122"/>
      <c r="O341" s="144">
        <f>표3[[#This Row],[총연차]]-표3[[#This Row],[사용분]]-표3[[#This Row],[연차수당분]]</f>
        <v>0</v>
      </c>
      <c r="P341" s="120"/>
      <c r="Q341" s="125"/>
      <c r="R341" s="125"/>
      <c r="S341" s="125"/>
      <c r="T341" s="125"/>
      <c r="U341" s="125"/>
      <c r="V341" s="125"/>
      <c r="W341" s="183"/>
      <c r="X341" s="125"/>
      <c r="Y341" s="125"/>
      <c r="Z341" s="125"/>
      <c r="AA341" s="139"/>
      <c r="AB341" s="123">
        <f>SUM(표3[[#This Row],[1월]:[12월]])</f>
        <v>0</v>
      </c>
      <c r="AC341" s="140"/>
    </row>
    <row r="342" spans="7:29" ht="21" customHeight="1" x14ac:dyDescent="0.3">
      <c r="G342" s="141"/>
      <c r="H342" s="120"/>
      <c r="I342" s="124"/>
      <c r="J342" s="125"/>
      <c r="K342" s="125"/>
      <c r="L342" s="136">
        <f>표3[[#This Row],[발생연차]]+표3[[#This Row],[추가]]-표3[[#This Row],[공제]]</f>
        <v>0</v>
      </c>
      <c r="M342" s="121"/>
      <c r="N342" s="122"/>
      <c r="O342" s="144">
        <f>표3[[#This Row],[총연차]]-표3[[#This Row],[사용분]]-표3[[#This Row],[연차수당분]]</f>
        <v>0</v>
      </c>
      <c r="P342" s="120"/>
      <c r="Q342" s="125"/>
      <c r="R342" s="125"/>
      <c r="S342" s="125"/>
      <c r="T342" s="125"/>
      <c r="U342" s="125"/>
      <c r="V342" s="125"/>
      <c r="W342" s="183"/>
      <c r="X342" s="125"/>
      <c r="Y342" s="125"/>
      <c r="Z342" s="125"/>
      <c r="AA342" s="139"/>
      <c r="AB342" s="123">
        <f>SUM(표3[[#This Row],[1월]:[12월]])</f>
        <v>0</v>
      </c>
      <c r="AC342" s="140"/>
    </row>
    <row r="343" spans="7:29" ht="21" customHeight="1" x14ac:dyDescent="0.3">
      <c r="G343" s="141"/>
      <c r="H343" s="120"/>
      <c r="I343" s="124"/>
      <c r="J343" s="125"/>
      <c r="K343" s="125"/>
      <c r="L343" s="136">
        <f>표3[[#This Row],[발생연차]]+표3[[#This Row],[추가]]-표3[[#This Row],[공제]]</f>
        <v>0</v>
      </c>
      <c r="M343" s="121"/>
      <c r="N343" s="122"/>
      <c r="O343" s="144">
        <f>표3[[#This Row],[총연차]]-표3[[#This Row],[사용분]]-표3[[#This Row],[연차수당분]]</f>
        <v>0</v>
      </c>
      <c r="P343" s="120"/>
      <c r="Q343" s="125"/>
      <c r="R343" s="125"/>
      <c r="S343" s="125"/>
      <c r="T343" s="125"/>
      <c r="U343" s="125"/>
      <c r="V343" s="125"/>
      <c r="W343" s="183"/>
      <c r="X343" s="125"/>
      <c r="Y343" s="125"/>
      <c r="Z343" s="125"/>
      <c r="AA343" s="139"/>
      <c r="AB343" s="123">
        <f>SUM(표3[[#This Row],[1월]:[12월]])</f>
        <v>0</v>
      </c>
      <c r="AC343" s="140"/>
    </row>
    <row r="344" spans="7:29" ht="21" customHeight="1" x14ac:dyDescent="0.3">
      <c r="G344" s="141"/>
      <c r="H344" s="120"/>
      <c r="I344" s="124"/>
      <c r="J344" s="125"/>
      <c r="K344" s="125"/>
      <c r="L344" s="136">
        <f>표3[[#This Row],[발생연차]]+표3[[#This Row],[추가]]-표3[[#This Row],[공제]]</f>
        <v>0</v>
      </c>
      <c r="M344" s="121"/>
      <c r="N344" s="122"/>
      <c r="O344" s="144">
        <f>표3[[#This Row],[총연차]]-표3[[#This Row],[사용분]]-표3[[#This Row],[연차수당분]]</f>
        <v>0</v>
      </c>
      <c r="P344" s="120"/>
      <c r="Q344" s="125"/>
      <c r="R344" s="125"/>
      <c r="S344" s="125"/>
      <c r="T344" s="125"/>
      <c r="U344" s="125"/>
      <c r="V344" s="125"/>
      <c r="W344" s="183"/>
      <c r="X344" s="125"/>
      <c r="Y344" s="125"/>
      <c r="Z344" s="125"/>
      <c r="AA344" s="139"/>
      <c r="AB344" s="123">
        <f>SUM(표3[[#This Row],[1월]:[12월]])</f>
        <v>0</v>
      </c>
      <c r="AC344" s="140"/>
    </row>
    <row r="345" spans="7:29" ht="21" customHeight="1" x14ac:dyDescent="0.3">
      <c r="G345" s="141"/>
      <c r="H345" s="120"/>
      <c r="I345" s="124"/>
      <c r="J345" s="125"/>
      <c r="K345" s="125"/>
      <c r="L345" s="136">
        <f>표3[[#This Row],[발생연차]]+표3[[#This Row],[추가]]-표3[[#This Row],[공제]]</f>
        <v>0</v>
      </c>
      <c r="M345" s="121"/>
      <c r="N345" s="122"/>
      <c r="O345" s="144">
        <f>표3[[#This Row],[총연차]]-표3[[#This Row],[사용분]]-표3[[#This Row],[연차수당분]]</f>
        <v>0</v>
      </c>
      <c r="P345" s="120"/>
      <c r="Q345" s="125"/>
      <c r="R345" s="125"/>
      <c r="S345" s="125"/>
      <c r="T345" s="125"/>
      <c r="U345" s="125"/>
      <c r="V345" s="125"/>
      <c r="W345" s="183"/>
      <c r="X345" s="125"/>
      <c r="Y345" s="125"/>
      <c r="Z345" s="125"/>
      <c r="AA345" s="139"/>
      <c r="AB345" s="123">
        <f>SUM(표3[[#This Row],[1월]:[12월]])</f>
        <v>0</v>
      </c>
      <c r="AC345" s="140"/>
    </row>
    <row r="346" spans="7:29" ht="21" customHeight="1" x14ac:dyDescent="0.3">
      <c r="G346" s="141"/>
      <c r="H346" s="120"/>
      <c r="I346" s="124"/>
      <c r="J346" s="125"/>
      <c r="K346" s="125"/>
      <c r="L346" s="136">
        <f>표3[[#This Row],[발생연차]]+표3[[#This Row],[추가]]-표3[[#This Row],[공제]]</f>
        <v>0</v>
      </c>
      <c r="M346" s="121"/>
      <c r="N346" s="122"/>
      <c r="O346" s="144">
        <f>표3[[#This Row],[총연차]]-표3[[#This Row],[사용분]]-표3[[#This Row],[연차수당분]]</f>
        <v>0</v>
      </c>
      <c r="P346" s="120"/>
      <c r="Q346" s="125"/>
      <c r="R346" s="125"/>
      <c r="S346" s="125"/>
      <c r="T346" s="125"/>
      <c r="U346" s="125"/>
      <c r="V346" s="125"/>
      <c r="W346" s="183"/>
      <c r="X346" s="125"/>
      <c r="Y346" s="125"/>
      <c r="Z346" s="125"/>
      <c r="AA346" s="139"/>
      <c r="AB346" s="123">
        <f>SUM(표3[[#This Row],[1월]:[12월]])</f>
        <v>0</v>
      </c>
      <c r="AC346" s="140"/>
    </row>
    <row r="347" spans="7:29" ht="21" customHeight="1" x14ac:dyDescent="0.3">
      <c r="G347" s="141"/>
      <c r="H347" s="120"/>
      <c r="I347" s="124"/>
      <c r="J347" s="125"/>
      <c r="K347" s="125"/>
      <c r="L347" s="136">
        <f>표3[[#This Row],[발생연차]]+표3[[#This Row],[추가]]-표3[[#This Row],[공제]]</f>
        <v>0</v>
      </c>
      <c r="M347" s="121"/>
      <c r="N347" s="122"/>
      <c r="O347" s="144">
        <f>표3[[#This Row],[총연차]]-표3[[#This Row],[사용분]]-표3[[#This Row],[연차수당분]]</f>
        <v>0</v>
      </c>
      <c r="P347" s="120"/>
      <c r="Q347" s="125"/>
      <c r="R347" s="125"/>
      <c r="S347" s="125"/>
      <c r="T347" s="125"/>
      <c r="U347" s="125"/>
      <c r="V347" s="125"/>
      <c r="W347" s="183"/>
      <c r="X347" s="125"/>
      <c r="Y347" s="125"/>
      <c r="Z347" s="125"/>
      <c r="AA347" s="139"/>
      <c r="AB347" s="123">
        <f>SUM(표3[[#This Row],[1월]:[12월]])</f>
        <v>0</v>
      </c>
      <c r="AC347" s="140"/>
    </row>
    <row r="348" spans="7:29" ht="21" customHeight="1" x14ac:dyDescent="0.3">
      <c r="G348" s="141"/>
      <c r="H348" s="120"/>
      <c r="I348" s="124"/>
      <c r="J348" s="125"/>
      <c r="K348" s="125"/>
      <c r="L348" s="136">
        <f>표3[[#This Row],[발생연차]]+표3[[#This Row],[추가]]-표3[[#This Row],[공제]]</f>
        <v>0</v>
      </c>
      <c r="M348" s="121"/>
      <c r="N348" s="122"/>
      <c r="O348" s="144">
        <f>표3[[#This Row],[총연차]]-표3[[#This Row],[사용분]]-표3[[#This Row],[연차수당분]]</f>
        <v>0</v>
      </c>
      <c r="P348" s="120"/>
      <c r="Q348" s="125"/>
      <c r="R348" s="125"/>
      <c r="S348" s="125"/>
      <c r="T348" s="125"/>
      <c r="U348" s="125"/>
      <c r="V348" s="125"/>
      <c r="W348" s="183"/>
      <c r="X348" s="125"/>
      <c r="Y348" s="125"/>
      <c r="Z348" s="125"/>
      <c r="AA348" s="139"/>
      <c r="AB348" s="123">
        <f>SUM(표3[[#This Row],[1월]:[12월]])</f>
        <v>0</v>
      </c>
      <c r="AC348" s="140"/>
    </row>
    <row r="349" spans="7:29" ht="21" customHeight="1" x14ac:dyDescent="0.3">
      <c r="G349" s="141"/>
      <c r="H349" s="120"/>
      <c r="I349" s="124"/>
      <c r="J349" s="125"/>
      <c r="K349" s="125"/>
      <c r="L349" s="136">
        <f>표3[[#This Row],[발생연차]]+표3[[#This Row],[추가]]-표3[[#This Row],[공제]]</f>
        <v>0</v>
      </c>
      <c r="M349" s="121"/>
      <c r="N349" s="122"/>
      <c r="O349" s="144">
        <f>표3[[#This Row],[총연차]]-표3[[#This Row],[사용분]]-표3[[#This Row],[연차수당분]]</f>
        <v>0</v>
      </c>
      <c r="P349" s="120"/>
      <c r="Q349" s="125"/>
      <c r="R349" s="125"/>
      <c r="S349" s="125"/>
      <c r="T349" s="125"/>
      <c r="U349" s="125"/>
      <c r="V349" s="125"/>
      <c r="W349" s="183"/>
      <c r="X349" s="125"/>
      <c r="Y349" s="125"/>
      <c r="Z349" s="125"/>
      <c r="AA349" s="139"/>
      <c r="AB349" s="123">
        <f>SUM(표3[[#This Row],[1월]:[12월]])</f>
        <v>0</v>
      </c>
      <c r="AC349" s="140"/>
    </row>
    <row r="350" spans="7:29" ht="21" customHeight="1" x14ac:dyDescent="0.3">
      <c r="G350" s="141"/>
      <c r="H350" s="120"/>
      <c r="I350" s="124"/>
      <c r="J350" s="125"/>
      <c r="K350" s="125"/>
      <c r="L350" s="136">
        <f>표3[[#This Row],[발생연차]]+표3[[#This Row],[추가]]-표3[[#This Row],[공제]]</f>
        <v>0</v>
      </c>
      <c r="M350" s="121"/>
      <c r="N350" s="122"/>
      <c r="O350" s="144">
        <f>표3[[#This Row],[총연차]]-표3[[#This Row],[사용분]]-표3[[#This Row],[연차수당분]]</f>
        <v>0</v>
      </c>
      <c r="P350" s="120"/>
      <c r="Q350" s="125"/>
      <c r="R350" s="125"/>
      <c r="S350" s="125"/>
      <c r="T350" s="125"/>
      <c r="U350" s="125"/>
      <c r="V350" s="125"/>
      <c r="W350" s="183"/>
      <c r="X350" s="125"/>
      <c r="Y350" s="125"/>
      <c r="Z350" s="125"/>
      <c r="AA350" s="139"/>
      <c r="AB350" s="123">
        <f>SUM(표3[[#This Row],[1월]:[12월]])</f>
        <v>0</v>
      </c>
      <c r="AC350" s="140"/>
    </row>
    <row r="351" spans="7:29" ht="21" customHeight="1" x14ac:dyDescent="0.3">
      <c r="G351" s="141"/>
      <c r="H351" s="120"/>
      <c r="I351" s="124"/>
      <c r="J351" s="125"/>
      <c r="K351" s="125"/>
      <c r="L351" s="136">
        <f>표3[[#This Row],[발생연차]]+표3[[#This Row],[추가]]-표3[[#This Row],[공제]]</f>
        <v>0</v>
      </c>
      <c r="M351" s="121"/>
      <c r="N351" s="122"/>
      <c r="O351" s="144">
        <f>표3[[#This Row],[총연차]]-표3[[#This Row],[사용분]]-표3[[#This Row],[연차수당분]]</f>
        <v>0</v>
      </c>
      <c r="P351" s="120"/>
      <c r="Q351" s="125"/>
      <c r="R351" s="125"/>
      <c r="S351" s="125"/>
      <c r="T351" s="125"/>
      <c r="U351" s="125"/>
      <c r="V351" s="125"/>
      <c r="W351" s="183"/>
      <c r="X351" s="125"/>
      <c r="Y351" s="125"/>
      <c r="Z351" s="125"/>
      <c r="AA351" s="139"/>
      <c r="AB351" s="123">
        <f>SUM(표3[[#This Row],[1월]:[12월]])</f>
        <v>0</v>
      </c>
      <c r="AC351" s="140"/>
    </row>
    <row r="352" spans="7:29" ht="21" customHeight="1" x14ac:dyDescent="0.3">
      <c r="G352" s="141"/>
      <c r="H352" s="120"/>
      <c r="I352" s="124"/>
      <c r="J352" s="125"/>
      <c r="K352" s="125"/>
      <c r="L352" s="136">
        <f>표3[[#This Row],[발생연차]]+표3[[#This Row],[추가]]-표3[[#This Row],[공제]]</f>
        <v>0</v>
      </c>
      <c r="M352" s="121"/>
      <c r="N352" s="122"/>
      <c r="O352" s="144">
        <f>표3[[#This Row],[총연차]]-표3[[#This Row],[사용분]]-표3[[#This Row],[연차수당분]]</f>
        <v>0</v>
      </c>
      <c r="P352" s="120"/>
      <c r="Q352" s="125"/>
      <c r="R352" s="125"/>
      <c r="S352" s="125"/>
      <c r="T352" s="125"/>
      <c r="U352" s="125"/>
      <c r="V352" s="125"/>
      <c r="W352" s="183"/>
      <c r="X352" s="125"/>
      <c r="Y352" s="125"/>
      <c r="Z352" s="125"/>
      <c r="AA352" s="139"/>
      <c r="AB352" s="123">
        <f>SUM(표3[[#This Row],[1월]:[12월]])</f>
        <v>0</v>
      </c>
      <c r="AC352" s="140"/>
    </row>
    <row r="353" spans="7:29" ht="21" customHeight="1" x14ac:dyDescent="0.3">
      <c r="G353" s="141"/>
      <c r="H353" s="120"/>
      <c r="I353" s="124"/>
      <c r="J353" s="125"/>
      <c r="K353" s="125"/>
      <c r="L353" s="136">
        <f>표3[[#This Row],[발생연차]]+표3[[#This Row],[추가]]-표3[[#This Row],[공제]]</f>
        <v>0</v>
      </c>
      <c r="M353" s="121"/>
      <c r="N353" s="122"/>
      <c r="O353" s="144">
        <f>표3[[#This Row],[총연차]]-표3[[#This Row],[사용분]]-표3[[#This Row],[연차수당분]]</f>
        <v>0</v>
      </c>
      <c r="P353" s="120"/>
      <c r="Q353" s="125"/>
      <c r="R353" s="125"/>
      <c r="S353" s="125"/>
      <c r="T353" s="125"/>
      <c r="U353" s="125"/>
      <c r="V353" s="125"/>
      <c r="W353" s="183"/>
      <c r="X353" s="125"/>
      <c r="Y353" s="125"/>
      <c r="Z353" s="125"/>
      <c r="AA353" s="139"/>
      <c r="AB353" s="123">
        <f>SUM(표3[[#This Row],[1월]:[12월]])</f>
        <v>0</v>
      </c>
      <c r="AC353" s="140"/>
    </row>
    <row r="354" spans="7:29" ht="21" customHeight="1" x14ac:dyDescent="0.3">
      <c r="G354" s="141"/>
      <c r="H354" s="120"/>
      <c r="I354" s="124"/>
      <c r="J354" s="125"/>
      <c r="K354" s="125"/>
      <c r="L354" s="136">
        <f>표3[[#This Row],[발생연차]]+표3[[#This Row],[추가]]-표3[[#This Row],[공제]]</f>
        <v>0</v>
      </c>
      <c r="M354" s="121"/>
      <c r="N354" s="122"/>
      <c r="O354" s="144">
        <f>표3[[#This Row],[총연차]]-표3[[#This Row],[사용분]]-표3[[#This Row],[연차수당분]]</f>
        <v>0</v>
      </c>
      <c r="P354" s="120"/>
      <c r="Q354" s="125"/>
      <c r="R354" s="125"/>
      <c r="S354" s="125"/>
      <c r="T354" s="125"/>
      <c r="U354" s="125"/>
      <c r="V354" s="125"/>
      <c r="W354" s="183"/>
      <c r="X354" s="125"/>
      <c r="Y354" s="125"/>
      <c r="Z354" s="125"/>
      <c r="AA354" s="139"/>
      <c r="AB354" s="123">
        <f>SUM(표3[[#This Row],[1월]:[12월]])</f>
        <v>0</v>
      </c>
      <c r="AC354" s="140"/>
    </row>
    <row r="355" spans="7:29" ht="21" customHeight="1" x14ac:dyDescent="0.3">
      <c r="G355" s="141"/>
      <c r="H355" s="120"/>
      <c r="I355" s="124"/>
      <c r="J355" s="125"/>
      <c r="K355" s="125"/>
      <c r="L355" s="136">
        <f>표3[[#This Row],[발생연차]]+표3[[#This Row],[추가]]-표3[[#This Row],[공제]]</f>
        <v>0</v>
      </c>
      <c r="M355" s="121"/>
      <c r="N355" s="122"/>
      <c r="O355" s="144">
        <f>표3[[#This Row],[총연차]]-표3[[#This Row],[사용분]]-표3[[#This Row],[연차수당분]]</f>
        <v>0</v>
      </c>
      <c r="P355" s="120"/>
      <c r="Q355" s="125"/>
      <c r="R355" s="125"/>
      <c r="S355" s="125"/>
      <c r="T355" s="125"/>
      <c r="U355" s="125"/>
      <c r="V355" s="125"/>
      <c r="W355" s="183"/>
      <c r="X355" s="125"/>
      <c r="Y355" s="125"/>
      <c r="Z355" s="125"/>
      <c r="AA355" s="139"/>
      <c r="AB355" s="123">
        <f>SUM(표3[[#This Row],[1월]:[12월]])</f>
        <v>0</v>
      </c>
      <c r="AC355" s="140"/>
    </row>
    <row r="356" spans="7:29" ht="21" customHeight="1" x14ac:dyDescent="0.3">
      <c r="G356" s="141"/>
      <c r="H356" s="120"/>
      <c r="I356" s="124"/>
      <c r="J356" s="125"/>
      <c r="K356" s="125"/>
      <c r="L356" s="136">
        <f>표3[[#This Row],[발생연차]]+표3[[#This Row],[추가]]-표3[[#This Row],[공제]]</f>
        <v>0</v>
      </c>
      <c r="M356" s="121"/>
      <c r="N356" s="122"/>
      <c r="O356" s="144">
        <f>표3[[#This Row],[총연차]]-표3[[#This Row],[사용분]]-표3[[#This Row],[연차수당분]]</f>
        <v>0</v>
      </c>
      <c r="P356" s="120"/>
      <c r="Q356" s="125"/>
      <c r="R356" s="125"/>
      <c r="S356" s="125"/>
      <c r="T356" s="125"/>
      <c r="U356" s="125"/>
      <c r="V356" s="125"/>
      <c r="W356" s="183"/>
      <c r="X356" s="125"/>
      <c r="Y356" s="125"/>
      <c r="Z356" s="125"/>
      <c r="AA356" s="139"/>
      <c r="AB356" s="123">
        <f>SUM(표3[[#This Row],[1월]:[12월]])</f>
        <v>0</v>
      </c>
      <c r="AC356" s="140"/>
    </row>
    <row r="357" spans="7:29" ht="21" customHeight="1" x14ac:dyDescent="0.3">
      <c r="G357" s="141"/>
      <c r="H357" s="120"/>
      <c r="I357" s="124"/>
      <c r="J357" s="125"/>
      <c r="K357" s="125"/>
      <c r="L357" s="136">
        <f>표3[[#This Row],[발생연차]]+표3[[#This Row],[추가]]-표3[[#This Row],[공제]]</f>
        <v>0</v>
      </c>
      <c r="M357" s="121"/>
      <c r="N357" s="122"/>
      <c r="O357" s="144">
        <f>표3[[#This Row],[총연차]]-표3[[#This Row],[사용분]]-표3[[#This Row],[연차수당분]]</f>
        <v>0</v>
      </c>
      <c r="P357" s="120"/>
      <c r="Q357" s="125"/>
      <c r="R357" s="125"/>
      <c r="S357" s="125"/>
      <c r="T357" s="125"/>
      <c r="U357" s="125"/>
      <c r="V357" s="125"/>
      <c r="W357" s="183"/>
      <c r="X357" s="125"/>
      <c r="Y357" s="125"/>
      <c r="Z357" s="125"/>
      <c r="AA357" s="139"/>
      <c r="AB357" s="123">
        <f>SUM(표3[[#This Row],[1월]:[12월]])</f>
        <v>0</v>
      </c>
      <c r="AC357" s="140"/>
    </row>
    <row r="358" spans="7:29" ht="21" customHeight="1" x14ac:dyDescent="0.3">
      <c r="G358" s="141"/>
      <c r="H358" s="120"/>
      <c r="I358" s="124"/>
      <c r="J358" s="125"/>
      <c r="K358" s="125"/>
      <c r="L358" s="136">
        <f>표3[[#This Row],[발생연차]]+표3[[#This Row],[추가]]-표3[[#This Row],[공제]]</f>
        <v>0</v>
      </c>
      <c r="M358" s="121"/>
      <c r="N358" s="122"/>
      <c r="O358" s="144">
        <f>표3[[#This Row],[총연차]]-표3[[#This Row],[사용분]]-표3[[#This Row],[연차수당분]]</f>
        <v>0</v>
      </c>
      <c r="P358" s="120"/>
      <c r="Q358" s="125"/>
      <c r="R358" s="125"/>
      <c r="S358" s="125"/>
      <c r="T358" s="125"/>
      <c r="U358" s="125"/>
      <c r="V358" s="125"/>
      <c r="W358" s="183"/>
      <c r="X358" s="125"/>
      <c r="Y358" s="125"/>
      <c r="Z358" s="125"/>
      <c r="AA358" s="139"/>
      <c r="AB358" s="123">
        <f>SUM(표3[[#This Row],[1월]:[12월]])</f>
        <v>0</v>
      </c>
      <c r="AC358" s="140"/>
    </row>
    <row r="359" spans="7:29" ht="21" customHeight="1" x14ac:dyDescent="0.3">
      <c r="G359" s="141"/>
      <c r="H359" s="120"/>
      <c r="I359" s="124"/>
      <c r="J359" s="125"/>
      <c r="K359" s="125"/>
      <c r="L359" s="136">
        <f>표3[[#This Row],[발생연차]]+표3[[#This Row],[추가]]-표3[[#This Row],[공제]]</f>
        <v>0</v>
      </c>
      <c r="M359" s="121"/>
      <c r="N359" s="122"/>
      <c r="O359" s="144">
        <f>표3[[#This Row],[총연차]]-표3[[#This Row],[사용분]]-표3[[#This Row],[연차수당분]]</f>
        <v>0</v>
      </c>
      <c r="P359" s="120"/>
      <c r="Q359" s="125"/>
      <c r="R359" s="125"/>
      <c r="S359" s="125"/>
      <c r="T359" s="125"/>
      <c r="U359" s="125"/>
      <c r="V359" s="125"/>
      <c r="W359" s="183"/>
      <c r="X359" s="125"/>
      <c r="Y359" s="125"/>
      <c r="Z359" s="125"/>
      <c r="AA359" s="139"/>
      <c r="AB359" s="123">
        <f>SUM(표3[[#This Row],[1월]:[12월]])</f>
        <v>0</v>
      </c>
      <c r="AC359" s="140"/>
    </row>
    <row r="360" spans="7:29" ht="21" customHeight="1" x14ac:dyDescent="0.3">
      <c r="G360" s="141"/>
      <c r="H360" s="120"/>
      <c r="I360" s="124"/>
      <c r="J360" s="125"/>
      <c r="K360" s="125"/>
      <c r="L360" s="136">
        <f>표3[[#This Row],[발생연차]]+표3[[#This Row],[추가]]-표3[[#This Row],[공제]]</f>
        <v>0</v>
      </c>
      <c r="M360" s="121"/>
      <c r="N360" s="122"/>
      <c r="O360" s="144">
        <f>표3[[#This Row],[총연차]]-표3[[#This Row],[사용분]]-표3[[#This Row],[연차수당분]]</f>
        <v>0</v>
      </c>
      <c r="P360" s="120"/>
      <c r="Q360" s="125"/>
      <c r="R360" s="125"/>
      <c r="S360" s="125"/>
      <c r="T360" s="125"/>
      <c r="U360" s="125"/>
      <c r="V360" s="125"/>
      <c r="W360" s="183"/>
      <c r="X360" s="125"/>
      <c r="Y360" s="125"/>
      <c r="Z360" s="125"/>
      <c r="AA360" s="139"/>
      <c r="AB360" s="123">
        <f>SUM(표3[[#This Row],[1월]:[12월]])</f>
        <v>0</v>
      </c>
      <c r="AC360" s="140"/>
    </row>
    <row r="361" spans="7:29" ht="21" customHeight="1" x14ac:dyDescent="0.3">
      <c r="G361" s="141"/>
      <c r="H361" s="120"/>
      <c r="I361" s="124"/>
      <c r="J361" s="125"/>
      <c r="K361" s="125"/>
      <c r="L361" s="136">
        <f>표3[[#This Row],[발생연차]]+표3[[#This Row],[추가]]-표3[[#This Row],[공제]]</f>
        <v>0</v>
      </c>
      <c r="M361" s="121"/>
      <c r="N361" s="122"/>
      <c r="O361" s="144">
        <f>표3[[#This Row],[총연차]]-표3[[#This Row],[사용분]]-표3[[#This Row],[연차수당분]]</f>
        <v>0</v>
      </c>
      <c r="P361" s="120"/>
      <c r="Q361" s="125"/>
      <c r="R361" s="125"/>
      <c r="S361" s="125"/>
      <c r="T361" s="125"/>
      <c r="U361" s="125"/>
      <c r="V361" s="125"/>
      <c r="W361" s="183"/>
      <c r="X361" s="125"/>
      <c r="Y361" s="125"/>
      <c r="Z361" s="125"/>
      <c r="AA361" s="139"/>
      <c r="AB361" s="123">
        <f>SUM(표3[[#This Row],[1월]:[12월]])</f>
        <v>0</v>
      </c>
      <c r="AC361" s="140"/>
    </row>
    <row r="362" spans="7:29" ht="21" customHeight="1" x14ac:dyDescent="0.3">
      <c r="G362" s="141"/>
      <c r="H362" s="120"/>
      <c r="I362" s="124"/>
      <c r="J362" s="125"/>
      <c r="K362" s="125"/>
      <c r="L362" s="136">
        <f>표3[[#This Row],[발생연차]]+표3[[#This Row],[추가]]-표3[[#This Row],[공제]]</f>
        <v>0</v>
      </c>
      <c r="M362" s="121"/>
      <c r="N362" s="122"/>
      <c r="O362" s="144">
        <f>표3[[#This Row],[총연차]]-표3[[#This Row],[사용분]]-표3[[#This Row],[연차수당분]]</f>
        <v>0</v>
      </c>
      <c r="P362" s="120"/>
      <c r="Q362" s="125"/>
      <c r="R362" s="125"/>
      <c r="S362" s="125"/>
      <c r="T362" s="125"/>
      <c r="U362" s="125"/>
      <c r="V362" s="125"/>
      <c r="W362" s="183"/>
      <c r="X362" s="125"/>
      <c r="Y362" s="125"/>
      <c r="Z362" s="125"/>
      <c r="AA362" s="139"/>
      <c r="AB362" s="123">
        <f>SUM(표3[[#This Row],[1월]:[12월]])</f>
        <v>0</v>
      </c>
      <c r="AC362" s="140"/>
    </row>
    <row r="363" spans="7:29" ht="21" customHeight="1" x14ac:dyDescent="0.3">
      <c r="G363" s="141"/>
      <c r="H363" s="120"/>
      <c r="I363" s="124"/>
      <c r="J363" s="125"/>
      <c r="K363" s="125"/>
      <c r="L363" s="136">
        <f>표3[[#This Row],[발생연차]]+표3[[#This Row],[추가]]-표3[[#This Row],[공제]]</f>
        <v>0</v>
      </c>
      <c r="M363" s="121"/>
      <c r="N363" s="122"/>
      <c r="O363" s="144">
        <f>표3[[#This Row],[총연차]]-표3[[#This Row],[사용분]]-표3[[#This Row],[연차수당분]]</f>
        <v>0</v>
      </c>
      <c r="P363" s="120"/>
      <c r="Q363" s="125"/>
      <c r="R363" s="125"/>
      <c r="S363" s="125"/>
      <c r="T363" s="125"/>
      <c r="U363" s="125"/>
      <c r="V363" s="125"/>
      <c r="W363" s="183"/>
      <c r="X363" s="125"/>
      <c r="Y363" s="125"/>
      <c r="Z363" s="125"/>
      <c r="AA363" s="139"/>
      <c r="AB363" s="123">
        <f>SUM(표3[[#This Row],[1월]:[12월]])</f>
        <v>0</v>
      </c>
      <c r="AC363" s="140"/>
    </row>
    <row r="364" spans="7:29" ht="21" customHeight="1" x14ac:dyDescent="0.3">
      <c r="G364" s="141"/>
      <c r="H364" s="120"/>
      <c r="I364" s="124"/>
      <c r="J364" s="125"/>
      <c r="K364" s="125"/>
      <c r="L364" s="136">
        <f>표3[[#This Row],[발생연차]]+표3[[#This Row],[추가]]-표3[[#This Row],[공제]]</f>
        <v>0</v>
      </c>
      <c r="M364" s="121"/>
      <c r="N364" s="122"/>
      <c r="O364" s="144">
        <f>표3[[#This Row],[총연차]]-표3[[#This Row],[사용분]]-표3[[#This Row],[연차수당분]]</f>
        <v>0</v>
      </c>
      <c r="P364" s="120"/>
      <c r="Q364" s="125"/>
      <c r="R364" s="125"/>
      <c r="S364" s="125"/>
      <c r="T364" s="125"/>
      <c r="U364" s="125"/>
      <c r="V364" s="125"/>
      <c r="W364" s="183"/>
      <c r="X364" s="125"/>
      <c r="Y364" s="125"/>
      <c r="Z364" s="125"/>
      <c r="AA364" s="139"/>
      <c r="AB364" s="123">
        <f>SUM(표3[[#This Row],[1월]:[12월]])</f>
        <v>0</v>
      </c>
      <c r="AC364" s="140"/>
    </row>
    <row r="365" spans="7:29" ht="21" customHeight="1" x14ac:dyDescent="0.3">
      <c r="G365" s="141"/>
      <c r="H365" s="120"/>
      <c r="I365" s="124"/>
      <c r="J365" s="125"/>
      <c r="K365" s="125"/>
      <c r="L365" s="136">
        <f>표3[[#This Row],[발생연차]]+표3[[#This Row],[추가]]-표3[[#This Row],[공제]]</f>
        <v>0</v>
      </c>
      <c r="M365" s="121"/>
      <c r="N365" s="122"/>
      <c r="O365" s="144">
        <f>표3[[#This Row],[총연차]]-표3[[#This Row],[사용분]]-표3[[#This Row],[연차수당분]]</f>
        <v>0</v>
      </c>
      <c r="P365" s="120"/>
      <c r="Q365" s="125"/>
      <c r="R365" s="125"/>
      <c r="S365" s="125"/>
      <c r="T365" s="125"/>
      <c r="U365" s="125"/>
      <c r="V365" s="125"/>
      <c r="W365" s="183"/>
      <c r="X365" s="125"/>
      <c r="Y365" s="125"/>
      <c r="Z365" s="125"/>
      <c r="AA365" s="139"/>
      <c r="AB365" s="123">
        <f>SUM(표3[[#This Row],[1월]:[12월]])</f>
        <v>0</v>
      </c>
      <c r="AC365" s="140"/>
    </row>
    <row r="366" spans="7:29" ht="21" customHeight="1" x14ac:dyDescent="0.3">
      <c r="G366" s="141"/>
      <c r="H366" s="120"/>
      <c r="I366" s="124"/>
      <c r="J366" s="125"/>
      <c r="K366" s="125"/>
      <c r="L366" s="136">
        <f>표3[[#This Row],[발생연차]]+표3[[#This Row],[추가]]-표3[[#This Row],[공제]]</f>
        <v>0</v>
      </c>
      <c r="M366" s="121"/>
      <c r="N366" s="122"/>
      <c r="O366" s="144">
        <f>표3[[#This Row],[총연차]]-표3[[#This Row],[사용분]]-표3[[#This Row],[연차수당분]]</f>
        <v>0</v>
      </c>
      <c r="P366" s="120"/>
      <c r="Q366" s="125"/>
      <c r="R366" s="125"/>
      <c r="S366" s="125"/>
      <c r="T366" s="125"/>
      <c r="U366" s="125"/>
      <c r="V366" s="125"/>
      <c r="W366" s="183"/>
      <c r="X366" s="125"/>
      <c r="Y366" s="125"/>
      <c r="Z366" s="125"/>
      <c r="AA366" s="139"/>
      <c r="AB366" s="123">
        <f>SUM(표3[[#This Row],[1월]:[12월]])</f>
        <v>0</v>
      </c>
      <c r="AC366" s="140"/>
    </row>
    <row r="367" spans="7:29" ht="21" customHeight="1" x14ac:dyDescent="0.3">
      <c r="G367" s="141"/>
      <c r="H367" s="120"/>
      <c r="I367" s="124"/>
      <c r="J367" s="125"/>
      <c r="K367" s="125"/>
      <c r="L367" s="136">
        <f>표3[[#This Row],[발생연차]]+표3[[#This Row],[추가]]-표3[[#This Row],[공제]]</f>
        <v>0</v>
      </c>
      <c r="M367" s="121"/>
      <c r="N367" s="122"/>
      <c r="O367" s="144">
        <f>표3[[#This Row],[총연차]]-표3[[#This Row],[사용분]]-표3[[#This Row],[연차수당분]]</f>
        <v>0</v>
      </c>
      <c r="P367" s="120"/>
      <c r="Q367" s="125"/>
      <c r="R367" s="125"/>
      <c r="S367" s="125"/>
      <c r="T367" s="125"/>
      <c r="U367" s="125"/>
      <c r="V367" s="125"/>
      <c r="W367" s="183"/>
      <c r="X367" s="125"/>
      <c r="Y367" s="125"/>
      <c r="Z367" s="125"/>
      <c r="AA367" s="139"/>
      <c r="AB367" s="123">
        <f>SUM(표3[[#This Row],[1월]:[12월]])</f>
        <v>0</v>
      </c>
      <c r="AC367" s="140"/>
    </row>
    <row r="368" spans="7:29" ht="21" customHeight="1" x14ac:dyDescent="0.3">
      <c r="G368" s="141"/>
      <c r="H368" s="120"/>
      <c r="I368" s="124"/>
      <c r="J368" s="125"/>
      <c r="K368" s="125"/>
      <c r="L368" s="136">
        <f>표3[[#This Row],[발생연차]]+표3[[#This Row],[추가]]-표3[[#This Row],[공제]]</f>
        <v>0</v>
      </c>
      <c r="M368" s="121"/>
      <c r="N368" s="122"/>
      <c r="O368" s="144">
        <f>표3[[#This Row],[총연차]]-표3[[#This Row],[사용분]]-표3[[#This Row],[연차수당분]]</f>
        <v>0</v>
      </c>
      <c r="P368" s="120"/>
      <c r="Q368" s="125"/>
      <c r="R368" s="125"/>
      <c r="S368" s="125"/>
      <c r="T368" s="125"/>
      <c r="U368" s="125"/>
      <c r="V368" s="125"/>
      <c r="W368" s="183"/>
      <c r="X368" s="125"/>
      <c r="Y368" s="125"/>
      <c r="Z368" s="125"/>
      <c r="AA368" s="139"/>
      <c r="AB368" s="123">
        <f>SUM(표3[[#This Row],[1월]:[12월]])</f>
        <v>0</v>
      </c>
      <c r="AC368" s="140"/>
    </row>
    <row r="369" spans="7:29" ht="21" customHeight="1" x14ac:dyDescent="0.3">
      <c r="G369" s="141"/>
      <c r="H369" s="120"/>
      <c r="I369" s="124"/>
      <c r="J369" s="125"/>
      <c r="K369" s="125"/>
      <c r="L369" s="136">
        <f>표3[[#This Row],[발생연차]]+표3[[#This Row],[추가]]-표3[[#This Row],[공제]]</f>
        <v>0</v>
      </c>
      <c r="M369" s="121"/>
      <c r="N369" s="122"/>
      <c r="O369" s="144">
        <f>표3[[#This Row],[총연차]]-표3[[#This Row],[사용분]]-표3[[#This Row],[연차수당분]]</f>
        <v>0</v>
      </c>
      <c r="P369" s="120"/>
      <c r="Q369" s="125"/>
      <c r="R369" s="125"/>
      <c r="S369" s="125"/>
      <c r="T369" s="125"/>
      <c r="U369" s="125"/>
      <c r="V369" s="125"/>
      <c r="W369" s="183"/>
      <c r="X369" s="125"/>
      <c r="Y369" s="125"/>
      <c r="Z369" s="125"/>
      <c r="AA369" s="139"/>
      <c r="AB369" s="123">
        <f>SUM(표3[[#This Row],[1월]:[12월]])</f>
        <v>0</v>
      </c>
      <c r="AC369" s="140"/>
    </row>
    <row r="370" spans="7:29" ht="21" customHeight="1" x14ac:dyDescent="0.3">
      <c r="G370" s="141"/>
      <c r="H370" s="120"/>
      <c r="I370" s="124"/>
      <c r="J370" s="125"/>
      <c r="K370" s="125"/>
      <c r="L370" s="136">
        <f>표3[[#This Row],[발생연차]]+표3[[#This Row],[추가]]-표3[[#This Row],[공제]]</f>
        <v>0</v>
      </c>
      <c r="M370" s="121"/>
      <c r="N370" s="122"/>
      <c r="O370" s="144">
        <f>표3[[#This Row],[총연차]]-표3[[#This Row],[사용분]]-표3[[#This Row],[연차수당분]]</f>
        <v>0</v>
      </c>
      <c r="P370" s="120"/>
      <c r="Q370" s="125"/>
      <c r="R370" s="125"/>
      <c r="S370" s="125"/>
      <c r="T370" s="125"/>
      <c r="U370" s="125"/>
      <c r="V370" s="125"/>
      <c r="W370" s="183"/>
      <c r="X370" s="125"/>
      <c r="Y370" s="125"/>
      <c r="Z370" s="125"/>
      <c r="AA370" s="139"/>
      <c r="AB370" s="123">
        <f>SUM(표3[[#This Row],[1월]:[12월]])</f>
        <v>0</v>
      </c>
      <c r="AC370" s="140"/>
    </row>
    <row r="371" spans="7:29" ht="21" customHeight="1" x14ac:dyDescent="0.3">
      <c r="G371" s="141"/>
      <c r="H371" s="120"/>
      <c r="I371" s="124"/>
      <c r="J371" s="125"/>
      <c r="K371" s="125"/>
      <c r="L371" s="136">
        <f>표3[[#This Row],[발생연차]]+표3[[#This Row],[추가]]-표3[[#This Row],[공제]]</f>
        <v>0</v>
      </c>
      <c r="M371" s="121"/>
      <c r="N371" s="122"/>
      <c r="O371" s="144">
        <f>표3[[#This Row],[총연차]]-표3[[#This Row],[사용분]]-표3[[#This Row],[연차수당분]]</f>
        <v>0</v>
      </c>
      <c r="P371" s="120"/>
      <c r="Q371" s="125"/>
      <c r="R371" s="125"/>
      <c r="S371" s="125"/>
      <c r="T371" s="125"/>
      <c r="U371" s="125"/>
      <c r="V371" s="125"/>
      <c r="W371" s="183"/>
      <c r="X371" s="125"/>
      <c r="Y371" s="125"/>
      <c r="Z371" s="125"/>
      <c r="AA371" s="139"/>
      <c r="AB371" s="123">
        <f>SUM(표3[[#This Row],[1월]:[12월]])</f>
        <v>0</v>
      </c>
      <c r="AC371" s="140"/>
    </row>
    <row r="372" spans="7:29" ht="21" customHeight="1" x14ac:dyDescent="0.3">
      <c r="G372" s="141"/>
      <c r="H372" s="120"/>
      <c r="I372" s="124"/>
      <c r="J372" s="125"/>
      <c r="K372" s="125"/>
      <c r="L372" s="136">
        <f>표3[[#This Row],[발생연차]]+표3[[#This Row],[추가]]-표3[[#This Row],[공제]]</f>
        <v>0</v>
      </c>
      <c r="M372" s="121"/>
      <c r="N372" s="122"/>
      <c r="O372" s="144">
        <f>표3[[#This Row],[총연차]]-표3[[#This Row],[사용분]]-표3[[#This Row],[연차수당분]]</f>
        <v>0</v>
      </c>
      <c r="P372" s="120"/>
      <c r="Q372" s="125"/>
      <c r="R372" s="125"/>
      <c r="S372" s="125"/>
      <c r="T372" s="125"/>
      <c r="U372" s="125"/>
      <c r="V372" s="125"/>
      <c r="W372" s="183"/>
      <c r="X372" s="125"/>
      <c r="Y372" s="125"/>
      <c r="Z372" s="125"/>
      <c r="AA372" s="139"/>
      <c r="AB372" s="123">
        <f>SUM(표3[[#This Row],[1월]:[12월]])</f>
        <v>0</v>
      </c>
      <c r="AC372" s="140"/>
    </row>
    <row r="373" spans="7:29" ht="21" customHeight="1" x14ac:dyDescent="0.3">
      <c r="G373" s="141"/>
      <c r="H373" s="120"/>
      <c r="I373" s="124"/>
      <c r="J373" s="125"/>
      <c r="K373" s="125"/>
      <c r="L373" s="136">
        <f>표3[[#This Row],[발생연차]]+표3[[#This Row],[추가]]-표3[[#This Row],[공제]]</f>
        <v>0</v>
      </c>
      <c r="M373" s="121"/>
      <c r="N373" s="122"/>
      <c r="O373" s="144">
        <f>표3[[#This Row],[총연차]]-표3[[#This Row],[사용분]]-표3[[#This Row],[연차수당분]]</f>
        <v>0</v>
      </c>
      <c r="P373" s="120"/>
      <c r="Q373" s="125"/>
      <c r="R373" s="125"/>
      <c r="S373" s="125"/>
      <c r="T373" s="125"/>
      <c r="U373" s="125"/>
      <c r="V373" s="125"/>
      <c r="W373" s="183"/>
      <c r="X373" s="125"/>
      <c r="Y373" s="125"/>
      <c r="Z373" s="125"/>
      <c r="AA373" s="139"/>
      <c r="AB373" s="123">
        <f>SUM(표3[[#This Row],[1월]:[12월]])</f>
        <v>0</v>
      </c>
      <c r="AC373" s="140"/>
    </row>
    <row r="374" spans="7:29" ht="21" customHeight="1" x14ac:dyDescent="0.3">
      <c r="G374" s="141"/>
      <c r="H374" s="120"/>
      <c r="I374" s="124"/>
      <c r="J374" s="125"/>
      <c r="K374" s="125"/>
      <c r="L374" s="136">
        <f>표3[[#This Row],[발생연차]]+표3[[#This Row],[추가]]-표3[[#This Row],[공제]]</f>
        <v>0</v>
      </c>
      <c r="M374" s="121"/>
      <c r="N374" s="122"/>
      <c r="O374" s="144">
        <f>표3[[#This Row],[총연차]]-표3[[#This Row],[사용분]]-표3[[#This Row],[연차수당분]]</f>
        <v>0</v>
      </c>
      <c r="P374" s="120"/>
      <c r="Q374" s="125"/>
      <c r="R374" s="125"/>
      <c r="S374" s="125"/>
      <c r="T374" s="125"/>
      <c r="U374" s="125"/>
      <c r="V374" s="125"/>
      <c r="W374" s="183"/>
      <c r="X374" s="125"/>
      <c r="Y374" s="125"/>
      <c r="Z374" s="125"/>
      <c r="AA374" s="139"/>
      <c r="AB374" s="123">
        <f>SUM(표3[[#This Row],[1월]:[12월]])</f>
        <v>0</v>
      </c>
      <c r="AC374" s="140"/>
    </row>
    <row r="375" spans="7:29" ht="21" customHeight="1" x14ac:dyDescent="0.3">
      <c r="G375" s="141"/>
      <c r="H375" s="120"/>
      <c r="I375" s="124"/>
      <c r="J375" s="125"/>
      <c r="K375" s="125"/>
      <c r="L375" s="136">
        <f>표3[[#This Row],[발생연차]]+표3[[#This Row],[추가]]-표3[[#This Row],[공제]]</f>
        <v>0</v>
      </c>
      <c r="M375" s="121"/>
      <c r="N375" s="122"/>
      <c r="O375" s="144">
        <f>표3[[#This Row],[총연차]]-표3[[#This Row],[사용분]]-표3[[#This Row],[연차수당분]]</f>
        <v>0</v>
      </c>
      <c r="P375" s="120"/>
      <c r="Q375" s="125"/>
      <c r="R375" s="125"/>
      <c r="S375" s="125"/>
      <c r="T375" s="125"/>
      <c r="U375" s="125"/>
      <c r="V375" s="125"/>
      <c r="W375" s="183"/>
      <c r="X375" s="125"/>
      <c r="Y375" s="125"/>
      <c r="Z375" s="125"/>
      <c r="AA375" s="139"/>
      <c r="AB375" s="123">
        <f>SUM(표3[[#This Row],[1월]:[12월]])</f>
        <v>0</v>
      </c>
      <c r="AC375" s="140"/>
    </row>
    <row r="376" spans="7:29" ht="21" customHeight="1" x14ac:dyDescent="0.3">
      <c r="G376" s="141"/>
      <c r="H376" s="120"/>
      <c r="I376" s="124"/>
      <c r="J376" s="125"/>
      <c r="K376" s="125"/>
      <c r="L376" s="136">
        <f>표3[[#This Row],[발생연차]]+표3[[#This Row],[추가]]-표3[[#This Row],[공제]]</f>
        <v>0</v>
      </c>
      <c r="M376" s="121"/>
      <c r="N376" s="122"/>
      <c r="O376" s="144">
        <f>표3[[#This Row],[총연차]]-표3[[#This Row],[사용분]]-표3[[#This Row],[연차수당분]]</f>
        <v>0</v>
      </c>
      <c r="P376" s="120"/>
      <c r="Q376" s="125"/>
      <c r="R376" s="125"/>
      <c r="S376" s="125"/>
      <c r="T376" s="125"/>
      <c r="U376" s="125"/>
      <c r="V376" s="125"/>
      <c r="W376" s="183"/>
      <c r="X376" s="125"/>
      <c r="Y376" s="125"/>
      <c r="Z376" s="125"/>
      <c r="AA376" s="139"/>
      <c r="AB376" s="123">
        <f>SUM(표3[[#This Row],[1월]:[12월]])</f>
        <v>0</v>
      </c>
      <c r="AC376" s="140"/>
    </row>
    <row r="377" spans="7:29" ht="21" customHeight="1" x14ac:dyDescent="0.3">
      <c r="G377" s="141"/>
      <c r="H377" s="120"/>
      <c r="I377" s="124"/>
      <c r="J377" s="125"/>
      <c r="K377" s="125"/>
      <c r="L377" s="136">
        <f>표3[[#This Row],[발생연차]]+표3[[#This Row],[추가]]-표3[[#This Row],[공제]]</f>
        <v>0</v>
      </c>
      <c r="M377" s="121"/>
      <c r="N377" s="122"/>
      <c r="O377" s="144">
        <f>표3[[#This Row],[총연차]]-표3[[#This Row],[사용분]]-표3[[#This Row],[연차수당분]]</f>
        <v>0</v>
      </c>
      <c r="P377" s="120"/>
      <c r="Q377" s="125"/>
      <c r="R377" s="125"/>
      <c r="S377" s="125"/>
      <c r="T377" s="125"/>
      <c r="U377" s="125"/>
      <c r="V377" s="125"/>
      <c r="W377" s="183"/>
      <c r="X377" s="125"/>
      <c r="Y377" s="125"/>
      <c r="Z377" s="125"/>
      <c r="AA377" s="139"/>
      <c r="AB377" s="123">
        <f>SUM(표3[[#This Row],[1월]:[12월]])</f>
        <v>0</v>
      </c>
      <c r="AC377" s="140"/>
    </row>
    <row r="378" spans="7:29" ht="21" customHeight="1" x14ac:dyDescent="0.3">
      <c r="G378" s="141"/>
      <c r="H378" s="120"/>
      <c r="I378" s="124"/>
      <c r="J378" s="125"/>
      <c r="K378" s="125"/>
      <c r="L378" s="136">
        <f>표3[[#This Row],[발생연차]]+표3[[#This Row],[추가]]-표3[[#This Row],[공제]]</f>
        <v>0</v>
      </c>
      <c r="M378" s="121"/>
      <c r="N378" s="122"/>
      <c r="O378" s="144">
        <f>표3[[#This Row],[총연차]]-표3[[#This Row],[사용분]]-표3[[#This Row],[연차수당분]]</f>
        <v>0</v>
      </c>
      <c r="P378" s="120"/>
      <c r="Q378" s="125"/>
      <c r="R378" s="125"/>
      <c r="S378" s="125"/>
      <c r="T378" s="125"/>
      <c r="U378" s="125"/>
      <c r="V378" s="125"/>
      <c r="W378" s="183"/>
      <c r="X378" s="125"/>
      <c r="Y378" s="125"/>
      <c r="Z378" s="125"/>
      <c r="AA378" s="139"/>
      <c r="AB378" s="123">
        <f>SUM(표3[[#This Row],[1월]:[12월]])</f>
        <v>0</v>
      </c>
      <c r="AC378" s="140"/>
    </row>
    <row r="379" spans="7:29" ht="21" customHeight="1" x14ac:dyDescent="0.3">
      <c r="G379" s="141"/>
      <c r="H379" s="120"/>
      <c r="I379" s="124"/>
      <c r="J379" s="125"/>
      <c r="K379" s="125"/>
      <c r="L379" s="136">
        <f>표3[[#This Row],[발생연차]]+표3[[#This Row],[추가]]-표3[[#This Row],[공제]]</f>
        <v>0</v>
      </c>
      <c r="M379" s="121"/>
      <c r="N379" s="122"/>
      <c r="O379" s="144">
        <f>표3[[#This Row],[총연차]]-표3[[#This Row],[사용분]]-표3[[#This Row],[연차수당분]]</f>
        <v>0</v>
      </c>
      <c r="P379" s="120"/>
      <c r="Q379" s="125"/>
      <c r="R379" s="125"/>
      <c r="S379" s="125"/>
      <c r="T379" s="125"/>
      <c r="U379" s="125"/>
      <c r="V379" s="125"/>
      <c r="W379" s="183"/>
      <c r="X379" s="125"/>
      <c r="Y379" s="125"/>
      <c r="Z379" s="125"/>
      <c r="AA379" s="139"/>
      <c r="AB379" s="123">
        <f>SUM(표3[[#This Row],[1월]:[12월]])</f>
        <v>0</v>
      </c>
      <c r="AC379" s="140"/>
    </row>
    <row r="380" spans="7:29" ht="21" customHeight="1" x14ac:dyDescent="0.3">
      <c r="G380" s="141"/>
      <c r="H380" s="120"/>
      <c r="I380" s="124"/>
      <c r="J380" s="125"/>
      <c r="K380" s="125"/>
      <c r="L380" s="136">
        <f>표3[[#This Row],[발생연차]]+표3[[#This Row],[추가]]-표3[[#This Row],[공제]]</f>
        <v>0</v>
      </c>
      <c r="M380" s="121"/>
      <c r="N380" s="122"/>
      <c r="O380" s="144">
        <f>표3[[#This Row],[총연차]]-표3[[#This Row],[사용분]]-표3[[#This Row],[연차수당분]]</f>
        <v>0</v>
      </c>
      <c r="P380" s="120"/>
      <c r="Q380" s="125"/>
      <c r="R380" s="125"/>
      <c r="S380" s="125"/>
      <c r="T380" s="125"/>
      <c r="U380" s="125"/>
      <c r="V380" s="125"/>
      <c r="W380" s="183"/>
      <c r="X380" s="125"/>
      <c r="Y380" s="125"/>
      <c r="Z380" s="125"/>
      <c r="AA380" s="139"/>
      <c r="AB380" s="123">
        <f>SUM(표3[[#This Row],[1월]:[12월]])</f>
        <v>0</v>
      </c>
      <c r="AC380" s="140"/>
    </row>
    <row r="381" spans="7:29" ht="21" customHeight="1" x14ac:dyDescent="0.3">
      <c r="G381" s="141"/>
      <c r="H381" s="120"/>
      <c r="I381" s="124"/>
      <c r="J381" s="125"/>
      <c r="K381" s="125"/>
      <c r="L381" s="136">
        <f>표3[[#This Row],[발생연차]]+표3[[#This Row],[추가]]-표3[[#This Row],[공제]]</f>
        <v>0</v>
      </c>
      <c r="M381" s="121"/>
      <c r="N381" s="122"/>
      <c r="O381" s="144">
        <f>표3[[#This Row],[총연차]]-표3[[#This Row],[사용분]]-표3[[#This Row],[연차수당분]]</f>
        <v>0</v>
      </c>
      <c r="P381" s="120"/>
      <c r="Q381" s="125"/>
      <c r="R381" s="125"/>
      <c r="S381" s="125"/>
      <c r="T381" s="125"/>
      <c r="U381" s="125"/>
      <c r="V381" s="125"/>
      <c r="W381" s="183"/>
      <c r="X381" s="125"/>
      <c r="Y381" s="125"/>
      <c r="Z381" s="125"/>
      <c r="AA381" s="139"/>
      <c r="AB381" s="123">
        <f>SUM(표3[[#This Row],[1월]:[12월]])</f>
        <v>0</v>
      </c>
      <c r="AC381" s="140"/>
    </row>
    <row r="382" spans="7:29" ht="21" customHeight="1" x14ac:dyDescent="0.3">
      <c r="G382" s="141"/>
      <c r="H382" s="120"/>
      <c r="I382" s="124"/>
      <c r="J382" s="125"/>
      <c r="K382" s="125"/>
      <c r="L382" s="136">
        <f>표3[[#This Row],[발생연차]]+표3[[#This Row],[추가]]-표3[[#This Row],[공제]]</f>
        <v>0</v>
      </c>
      <c r="M382" s="121"/>
      <c r="N382" s="122"/>
      <c r="O382" s="144">
        <f>표3[[#This Row],[총연차]]-표3[[#This Row],[사용분]]-표3[[#This Row],[연차수당분]]</f>
        <v>0</v>
      </c>
      <c r="P382" s="120"/>
      <c r="Q382" s="125"/>
      <c r="R382" s="125"/>
      <c r="S382" s="125"/>
      <c r="T382" s="125"/>
      <c r="U382" s="125"/>
      <c r="V382" s="125"/>
      <c r="W382" s="183"/>
      <c r="X382" s="125"/>
      <c r="Y382" s="125"/>
      <c r="Z382" s="125"/>
      <c r="AA382" s="139"/>
      <c r="AB382" s="123">
        <f>SUM(표3[[#This Row],[1월]:[12월]])</f>
        <v>0</v>
      </c>
      <c r="AC382" s="140"/>
    </row>
    <row r="383" spans="7:29" ht="21" customHeight="1" x14ac:dyDescent="0.3">
      <c r="G383" s="141"/>
      <c r="H383" s="120"/>
      <c r="I383" s="124"/>
      <c r="J383" s="125"/>
      <c r="K383" s="125"/>
      <c r="L383" s="136">
        <f>표3[[#This Row],[발생연차]]+표3[[#This Row],[추가]]-표3[[#This Row],[공제]]</f>
        <v>0</v>
      </c>
      <c r="M383" s="121"/>
      <c r="N383" s="122"/>
      <c r="O383" s="144">
        <f>표3[[#This Row],[총연차]]-표3[[#This Row],[사용분]]-표3[[#This Row],[연차수당분]]</f>
        <v>0</v>
      </c>
      <c r="P383" s="120"/>
      <c r="Q383" s="125"/>
      <c r="R383" s="125"/>
      <c r="S383" s="125"/>
      <c r="T383" s="125"/>
      <c r="U383" s="125"/>
      <c r="V383" s="125"/>
      <c r="W383" s="183"/>
      <c r="X383" s="125"/>
      <c r="Y383" s="125"/>
      <c r="Z383" s="125"/>
      <c r="AA383" s="139"/>
      <c r="AB383" s="123">
        <f>SUM(표3[[#This Row],[1월]:[12월]])</f>
        <v>0</v>
      </c>
      <c r="AC383" s="140"/>
    </row>
    <row r="384" spans="7:29" ht="21" customHeight="1" x14ac:dyDescent="0.3">
      <c r="G384" s="141"/>
      <c r="H384" s="120"/>
      <c r="I384" s="124"/>
      <c r="J384" s="125"/>
      <c r="K384" s="125"/>
      <c r="L384" s="136">
        <f>표3[[#This Row],[발생연차]]+표3[[#This Row],[추가]]-표3[[#This Row],[공제]]</f>
        <v>0</v>
      </c>
      <c r="M384" s="121"/>
      <c r="N384" s="122"/>
      <c r="O384" s="144">
        <f>표3[[#This Row],[총연차]]-표3[[#This Row],[사용분]]-표3[[#This Row],[연차수당분]]</f>
        <v>0</v>
      </c>
      <c r="P384" s="120"/>
      <c r="Q384" s="125"/>
      <c r="R384" s="125"/>
      <c r="S384" s="125"/>
      <c r="T384" s="125"/>
      <c r="U384" s="125"/>
      <c r="V384" s="125"/>
      <c r="W384" s="183"/>
      <c r="X384" s="125"/>
      <c r="Y384" s="125"/>
      <c r="Z384" s="125"/>
      <c r="AA384" s="139"/>
      <c r="AB384" s="123">
        <f>SUM(표3[[#This Row],[1월]:[12월]])</f>
        <v>0</v>
      </c>
      <c r="AC384" s="140"/>
    </row>
    <row r="385" spans="7:29" ht="21" customHeight="1" x14ac:dyDescent="0.3">
      <c r="G385" s="141"/>
      <c r="H385" s="120"/>
      <c r="I385" s="124"/>
      <c r="J385" s="125"/>
      <c r="K385" s="125"/>
      <c r="L385" s="136">
        <f>표3[[#This Row],[발생연차]]+표3[[#This Row],[추가]]-표3[[#This Row],[공제]]</f>
        <v>0</v>
      </c>
      <c r="M385" s="121"/>
      <c r="N385" s="122"/>
      <c r="O385" s="144">
        <f>표3[[#This Row],[총연차]]-표3[[#This Row],[사용분]]-표3[[#This Row],[연차수당분]]</f>
        <v>0</v>
      </c>
      <c r="P385" s="120"/>
      <c r="Q385" s="125"/>
      <c r="R385" s="125"/>
      <c r="S385" s="125"/>
      <c r="T385" s="125"/>
      <c r="U385" s="125"/>
      <c r="V385" s="125"/>
      <c r="W385" s="183"/>
      <c r="X385" s="125"/>
      <c r="Y385" s="125"/>
      <c r="Z385" s="125"/>
      <c r="AA385" s="139"/>
      <c r="AB385" s="123">
        <f>SUM(표3[[#This Row],[1월]:[12월]])</f>
        <v>0</v>
      </c>
      <c r="AC385" s="140"/>
    </row>
    <row r="386" spans="7:29" ht="21" customHeight="1" x14ac:dyDescent="0.3">
      <c r="G386" s="141"/>
      <c r="H386" s="120"/>
      <c r="I386" s="124"/>
      <c r="J386" s="125"/>
      <c r="K386" s="125"/>
      <c r="L386" s="136">
        <f>표3[[#This Row],[발생연차]]+표3[[#This Row],[추가]]-표3[[#This Row],[공제]]</f>
        <v>0</v>
      </c>
      <c r="M386" s="121"/>
      <c r="N386" s="122"/>
      <c r="O386" s="144">
        <f>표3[[#This Row],[총연차]]-표3[[#This Row],[사용분]]-표3[[#This Row],[연차수당분]]</f>
        <v>0</v>
      </c>
      <c r="P386" s="120"/>
      <c r="Q386" s="125"/>
      <c r="R386" s="125"/>
      <c r="S386" s="125"/>
      <c r="T386" s="125"/>
      <c r="U386" s="125"/>
      <c r="V386" s="125"/>
      <c r="W386" s="183"/>
      <c r="X386" s="125"/>
      <c r="Y386" s="125"/>
      <c r="Z386" s="125"/>
      <c r="AA386" s="139"/>
      <c r="AB386" s="123">
        <f>SUM(표3[[#This Row],[1월]:[12월]])</f>
        <v>0</v>
      </c>
      <c r="AC386" s="140"/>
    </row>
    <row r="387" spans="7:29" ht="21" customHeight="1" x14ac:dyDescent="0.3">
      <c r="G387" s="141"/>
      <c r="H387" s="120"/>
      <c r="I387" s="124"/>
      <c r="J387" s="125"/>
      <c r="K387" s="125"/>
      <c r="L387" s="136">
        <f>표3[[#This Row],[발생연차]]+표3[[#This Row],[추가]]-표3[[#This Row],[공제]]</f>
        <v>0</v>
      </c>
      <c r="M387" s="121"/>
      <c r="N387" s="122"/>
      <c r="O387" s="144">
        <f>표3[[#This Row],[총연차]]-표3[[#This Row],[사용분]]-표3[[#This Row],[연차수당분]]</f>
        <v>0</v>
      </c>
      <c r="P387" s="120"/>
      <c r="Q387" s="125"/>
      <c r="R387" s="125"/>
      <c r="S387" s="125"/>
      <c r="T387" s="125"/>
      <c r="U387" s="125"/>
      <c r="V387" s="125"/>
      <c r="W387" s="183"/>
      <c r="X387" s="125"/>
      <c r="Y387" s="125"/>
      <c r="Z387" s="125"/>
      <c r="AA387" s="139"/>
      <c r="AB387" s="123">
        <f>SUM(표3[[#This Row],[1월]:[12월]])</f>
        <v>0</v>
      </c>
      <c r="AC387" s="140"/>
    </row>
    <row r="388" spans="7:29" ht="21" customHeight="1" x14ac:dyDescent="0.3">
      <c r="G388" s="141"/>
      <c r="H388" s="120"/>
      <c r="I388" s="124"/>
      <c r="J388" s="125"/>
      <c r="K388" s="125"/>
      <c r="L388" s="136">
        <f>표3[[#This Row],[발생연차]]+표3[[#This Row],[추가]]-표3[[#This Row],[공제]]</f>
        <v>0</v>
      </c>
      <c r="M388" s="121"/>
      <c r="N388" s="122"/>
      <c r="O388" s="144">
        <f>표3[[#This Row],[총연차]]-표3[[#This Row],[사용분]]-표3[[#This Row],[연차수당분]]</f>
        <v>0</v>
      </c>
      <c r="P388" s="120"/>
      <c r="Q388" s="125"/>
      <c r="R388" s="125"/>
      <c r="S388" s="125"/>
      <c r="T388" s="125"/>
      <c r="U388" s="125"/>
      <c r="V388" s="125"/>
      <c r="W388" s="183"/>
      <c r="X388" s="125"/>
      <c r="Y388" s="125"/>
      <c r="Z388" s="125"/>
      <c r="AA388" s="139"/>
      <c r="AB388" s="123">
        <f>SUM(표3[[#This Row],[1월]:[12월]])</f>
        <v>0</v>
      </c>
      <c r="AC388" s="140"/>
    </row>
    <row r="389" spans="7:29" ht="21" customHeight="1" x14ac:dyDescent="0.3">
      <c r="G389" s="141"/>
      <c r="H389" s="120"/>
      <c r="I389" s="124"/>
      <c r="J389" s="125"/>
      <c r="K389" s="125"/>
      <c r="L389" s="136">
        <f>표3[[#This Row],[발생연차]]+표3[[#This Row],[추가]]-표3[[#This Row],[공제]]</f>
        <v>0</v>
      </c>
      <c r="M389" s="121"/>
      <c r="N389" s="122"/>
      <c r="O389" s="144">
        <f>표3[[#This Row],[총연차]]-표3[[#This Row],[사용분]]-표3[[#This Row],[연차수당분]]</f>
        <v>0</v>
      </c>
      <c r="P389" s="120"/>
      <c r="Q389" s="125"/>
      <c r="R389" s="125"/>
      <c r="S389" s="125"/>
      <c r="T389" s="125"/>
      <c r="U389" s="125"/>
      <c r="V389" s="125"/>
      <c r="W389" s="183"/>
      <c r="X389" s="125"/>
      <c r="Y389" s="125"/>
      <c r="Z389" s="125"/>
      <c r="AA389" s="139"/>
      <c r="AB389" s="123">
        <f>SUM(표3[[#This Row],[1월]:[12월]])</f>
        <v>0</v>
      </c>
      <c r="AC389" s="140"/>
    </row>
    <row r="390" spans="7:29" ht="21" customHeight="1" x14ac:dyDescent="0.3">
      <c r="G390" s="141"/>
      <c r="H390" s="120"/>
      <c r="I390" s="124"/>
      <c r="J390" s="125"/>
      <c r="K390" s="125"/>
      <c r="L390" s="136">
        <f>표3[[#This Row],[발생연차]]+표3[[#This Row],[추가]]-표3[[#This Row],[공제]]</f>
        <v>0</v>
      </c>
      <c r="M390" s="121"/>
      <c r="N390" s="122"/>
      <c r="O390" s="144">
        <f>표3[[#This Row],[총연차]]-표3[[#This Row],[사용분]]-표3[[#This Row],[연차수당분]]</f>
        <v>0</v>
      </c>
      <c r="P390" s="120"/>
      <c r="Q390" s="125"/>
      <c r="R390" s="125"/>
      <c r="S390" s="125"/>
      <c r="T390" s="125"/>
      <c r="U390" s="125"/>
      <c r="V390" s="125"/>
      <c r="W390" s="183"/>
      <c r="X390" s="125"/>
      <c r="Y390" s="125"/>
      <c r="Z390" s="125"/>
      <c r="AA390" s="139"/>
      <c r="AB390" s="123">
        <f>SUM(표3[[#This Row],[1월]:[12월]])</f>
        <v>0</v>
      </c>
      <c r="AC390" s="140"/>
    </row>
    <row r="391" spans="7:29" ht="21" customHeight="1" x14ac:dyDescent="0.3">
      <c r="G391" s="141"/>
      <c r="H391" s="120"/>
      <c r="I391" s="124"/>
      <c r="J391" s="125"/>
      <c r="K391" s="125"/>
      <c r="L391" s="136">
        <f>표3[[#This Row],[발생연차]]+표3[[#This Row],[추가]]-표3[[#This Row],[공제]]</f>
        <v>0</v>
      </c>
      <c r="M391" s="121"/>
      <c r="N391" s="122"/>
      <c r="O391" s="144">
        <f>표3[[#This Row],[총연차]]-표3[[#This Row],[사용분]]-표3[[#This Row],[연차수당분]]</f>
        <v>0</v>
      </c>
      <c r="P391" s="120"/>
      <c r="Q391" s="125"/>
      <c r="R391" s="125"/>
      <c r="S391" s="125"/>
      <c r="T391" s="125"/>
      <c r="U391" s="125"/>
      <c r="V391" s="125"/>
      <c r="W391" s="183"/>
      <c r="X391" s="125"/>
      <c r="Y391" s="125"/>
      <c r="Z391" s="125"/>
      <c r="AA391" s="139"/>
      <c r="AB391" s="123">
        <f>SUM(표3[[#This Row],[1월]:[12월]])</f>
        <v>0</v>
      </c>
      <c r="AC391" s="140"/>
    </row>
    <row r="392" spans="7:29" ht="21" customHeight="1" x14ac:dyDescent="0.3">
      <c r="G392" s="141"/>
      <c r="H392" s="120"/>
      <c r="I392" s="124"/>
      <c r="J392" s="125"/>
      <c r="K392" s="125"/>
      <c r="L392" s="136">
        <f>표3[[#This Row],[발생연차]]+표3[[#This Row],[추가]]-표3[[#This Row],[공제]]</f>
        <v>0</v>
      </c>
      <c r="M392" s="121"/>
      <c r="N392" s="122"/>
      <c r="O392" s="144">
        <f>표3[[#This Row],[총연차]]-표3[[#This Row],[사용분]]-표3[[#This Row],[연차수당분]]</f>
        <v>0</v>
      </c>
      <c r="P392" s="120"/>
      <c r="Q392" s="125"/>
      <c r="R392" s="125"/>
      <c r="S392" s="125"/>
      <c r="T392" s="125"/>
      <c r="U392" s="125"/>
      <c r="V392" s="125"/>
      <c r="W392" s="183"/>
      <c r="X392" s="125"/>
      <c r="Y392" s="125"/>
      <c r="Z392" s="125"/>
      <c r="AA392" s="139"/>
      <c r="AB392" s="123">
        <f>SUM(표3[[#This Row],[1월]:[12월]])</f>
        <v>0</v>
      </c>
      <c r="AC392" s="140"/>
    </row>
    <row r="393" spans="7:29" ht="21" customHeight="1" x14ac:dyDescent="0.3">
      <c r="G393" s="141"/>
      <c r="H393" s="120"/>
      <c r="I393" s="124"/>
      <c r="J393" s="125"/>
      <c r="K393" s="125"/>
      <c r="L393" s="136">
        <f>표3[[#This Row],[발생연차]]+표3[[#This Row],[추가]]-표3[[#This Row],[공제]]</f>
        <v>0</v>
      </c>
      <c r="M393" s="121"/>
      <c r="N393" s="122"/>
      <c r="O393" s="144">
        <f>표3[[#This Row],[총연차]]-표3[[#This Row],[사용분]]-표3[[#This Row],[연차수당분]]</f>
        <v>0</v>
      </c>
      <c r="P393" s="120"/>
      <c r="Q393" s="125"/>
      <c r="R393" s="125"/>
      <c r="S393" s="125"/>
      <c r="T393" s="125"/>
      <c r="U393" s="125"/>
      <c r="V393" s="125"/>
      <c r="W393" s="183"/>
      <c r="X393" s="125"/>
      <c r="Y393" s="125"/>
      <c r="Z393" s="125"/>
      <c r="AA393" s="139"/>
      <c r="AB393" s="123">
        <f>SUM(표3[[#This Row],[1월]:[12월]])</f>
        <v>0</v>
      </c>
      <c r="AC393" s="140"/>
    </row>
    <row r="394" spans="7:29" ht="21" customHeight="1" x14ac:dyDescent="0.3">
      <c r="G394" s="141"/>
      <c r="H394" s="120"/>
      <c r="I394" s="124"/>
      <c r="J394" s="125"/>
      <c r="K394" s="125"/>
      <c r="L394" s="136">
        <f>표3[[#This Row],[발생연차]]+표3[[#This Row],[추가]]-표3[[#This Row],[공제]]</f>
        <v>0</v>
      </c>
      <c r="M394" s="121"/>
      <c r="N394" s="122"/>
      <c r="O394" s="144">
        <f>표3[[#This Row],[총연차]]-표3[[#This Row],[사용분]]-표3[[#This Row],[연차수당분]]</f>
        <v>0</v>
      </c>
      <c r="P394" s="120"/>
      <c r="Q394" s="125"/>
      <c r="R394" s="125"/>
      <c r="S394" s="125"/>
      <c r="T394" s="125"/>
      <c r="U394" s="125"/>
      <c r="V394" s="125"/>
      <c r="W394" s="183"/>
      <c r="X394" s="125"/>
      <c r="Y394" s="125"/>
      <c r="Z394" s="125"/>
      <c r="AA394" s="139"/>
      <c r="AB394" s="123">
        <f>SUM(표3[[#This Row],[1월]:[12월]])</f>
        <v>0</v>
      </c>
      <c r="AC394" s="140"/>
    </row>
    <row r="395" spans="7:29" ht="21" customHeight="1" x14ac:dyDescent="0.3">
      <c r="G395" s="141"/>
      <c r="H395" s="120"/>
      <c r="I395" s="124"/>
      <c r="J395" s="125"/>
      <c r="K395" s="125"/>
      <c r="L395" s="136">
        <f>표3[[#This Row],[발생연차]]+표3[[#This Row],[추가]]-표3[[#This Row],[공제]]</f>
        <v>0</v>
      </c>
      <c r="M395" s="121"/>
      <c r="N395" s="122"/>
      <c r="O395" s="144">
        <f>표3[[#This Row],[총연차]]-표3[[#This Row],[사용분]]-표3[[#This Row],[연차수당분]]</f>
        <v>0</v>
      </c>
      <c r="P395" s="120"/>
      <c r="Q395" s="125"/>
      <c r="R395" s="125"/>
      <c r="S395" s="125"/>
      <c r="T395" s="125"/>
      <c r="U395" s="125"/>
      <c r="V395" s="125"/>
      <c r="W395" s="183"/>
      <c r="X395" s="125"/>
      <c r="Y395" s="125"/>
      <c r="Z395" s="125"/>
      <c r="AA395" s="139"/>
      <c r="AB395" s="123">
        <f>SUM(표3[[#This Row],[1월]:[12월]])</f>
        <v>0</v>
      </c>
      <c r="AC395" s="140"/>
    </row>
    <row r="396" spans="7:29" ht="21" customHeight="1" x14ac:dyDescent="0.3">
      <c r="G396" s="141"/>
      <c r="H396" s="120"/>
      <c r="I396" s="124"/>
      <c r="J396" s="125"/>
      <c r="K396" s="125"/>
      <c r="L396" s="136">
        <f>표3[[#This Row],[발생연차]]+표3[[#This Row],[추가]]-표3[[#This Row],[공제]]</f>
        <v>0</v>
      </c>
      <c r="M396" s="121"/>
      <c r="N396" s="122"/>
      <c r="O396" s="144">
        <f>표3[[#This Row],[총연차]]-표3[[#This Row],[사용분]]-표3[[#This Row],[연차수당분]]</f>
        <v>0</v>
      </c>
      <c r="P396" s="120"/>
      <c r="Q396" s="125"/>
      <c r="R396" s="125"/>
      <c r="S396" s="125"/>
      <c r="T396" s="125"/>
      <c r="U396" s="125"/>
      <c r="V396" s="125"/>
      <c r="W396" s="183"/>
      <c r="X396" s="125"/>
      <c r="Y396" s="125"/>
      <c r="Z396" s="125"/>
      <c r="AA396" s="139"/>
      <c r="AB396" s="123">
        <f>SUM(표3[[#This Row],[1월]:[12월]])</f>
        <v>0</v>
      </c>
      <c r="AC396" s="140"/>
    </row>
    <row r="397" spans="7:29" ht="21" customHeight="1" x14ac:dyDescent="0.3">
      <c r="G397" s="141"/>
      <c r="H397" s="120"/>
      <c r="I397" s="124"/>
      <c r="J397" s="125"/>
      <c r="K397" s="125"/>
      <c r="L397" s="136">
        <f>표3[[#This Row],[발생연차]]+표3[[#This Row],[추가]]-표3[[#This Row],[공제]]</f>
        <v>0</v>
      </c>
      <c r="M397" s="121"/>
      <c r="N397" s="122"/>
      <c r="O397" s="144">
        <f>표3[[#This Row],[총연차]]-표3[[#This Row],[사용분]]-표3[[#This Row],[연차수당분]]</f>
        <v>0</v>
      </c>
      <c r="P397" s="120"/>
      <c r="Q397" s="125"/>
      <c r="R397" s="125"/>
      <c r="S397" s="125"/>
      <c r="T397" s="125"/>
      <c r="U397" s="125"/>
      <c r="V397" s="125"/>
      <c r="W397" s="183"/>
      <c r="X397" s="125"/>
      <c r="Y397" s="125"/>
      <c r="Z397" s="125"/>
      <c r="AA397" s="139"/>
      <c r="AB397" s="123">
        <f>SUM(표3[[#This Row],[1월]:[12월]])</f>
        <v>0</v>
      </c>
      <c r="AC397" s="140"/>
    </row>
    <row r="398" spans="7:29" ht="21" customHeight="1" x14ac:dyDescent="0.3">
      <c r="G398" s="141"/>
      <c r="H398" s="120"/>
      <c r="I398" s="124"/>
      <c r="J398" s="125"/>
      <c r="K398" s="125"/>
      <c r="L398" s="136">
        <f>표3[[#This Row],[발생연차]]+표3[[#This Row],[추가]]-표3[[#This Row],[공제]]</f>
        <v>0</v>
      </c>
      <c r="M398" s="121"/>
      <c r="N398" s="122"/>
      <c r="O398" s="144">
        <f>표3[[#This Row],[총연차]]-표3[[#This Row],[사용분]]-표3[[#This Row],[연차수당분]]</f>
        <v>0</v>
      </c>
      <c r="P398" s="120"/>
      <c r="Q398" s="125"/>
      <c r="R398" s="125"/>
      <c r="S398" s="125"/>
      <c r="T398" s="125"/>
      <c r="U398" s="125"/>
      <c r="V398" s="125"/>
      <c r="W398" s="183"/>
      <c r="X398" s="125"/>
      <c r="Y398" s="125"/>
      <c r="Z398" s="125"/>
      <c r="AA398" s="139"/>
      <c r="AB398" s="123">
        <f>SUM(표3[[#This Row],[1월]:[12월]])</f>
        <v>0</v>
      </c>
      <c r="AC398" s="140"/>
    </row>
    <row r="399" spans="7:29" ht="21" customHeight="1" x14ac:dyDescent="0.3">
      <c r="G399" s="141"/>
      <c r="H399" s="120"/>
      <c r="I399" s="124"/>
      <c r="J399" s="125"/>
      <c r="K399" s="125"/>
      <c r="L399" s="136">
        <f>표3[[#This Row],[발생연차]]+표3[[#This Row],[추가]]-표3[[#This Row],[공제]]</f>
        <v>0</v>
      </c>
      <c r="M399" s="121"/>
      <c r="N399" s="122"/>
      <c r="O399" s="144">
        <f>표3[[#This Row],[총연차]]-표3[[#This Row],[사용분]]-표3[[#This Row],[연차수당분]]</f>
        <v>0</v>
      </c>
      <c r="P399" s="120"/>
      <c r="Q399" s="125"/>
      <c r="R399" s="125"/>
      <c r="S399" s="125"/>
      <c r="T399" s="125"/>
      <c r="U399" s="125"/>
      <c r="V399" s="125"/>
      <c r="W399" s="183"/>
      <c r="X399" s="125"/>
      <c r="Y399" s="125"/>
      <c r="Z399" s="125"/>
      <c r="AA399" s="139"/>
      <c r="AB399" s="123">
        <f>SUM(표3[[#This Row],[1월]:[12월]])</f>
        <v>0</v>
      </c>
      <c r="AC399" s="140"/>
    </row>
    <row r="400" spans="7:29" ht="21" customHeight="1" x14ac:dyDescent="0.3">
      <c r="G400" s="141"/>
      <c r="H400" s="120"/>
      <c r="I400" s="124"/>
      <c r="J400" s="125"/>
      <c r="K400" s="125"/>
      <c r="L400" s="136">
        <f>표3[[#This Row],[발생연차]]+표3[[#This Row],[추가]]-표3[[#This Row],[공제]]</f>
        <v>0</v>
      </c>
      <c r="M400" s="121"/>
      <c r="N400" s="122"/>
      <c r="O400" s="144">
        <f>표3[[#This Row],[총연차]]-표3[[#This Row],[사용분]]-표3[[#This Row],[연차수당분]]</f>
        <v>0</v>
      </c>
      <c r="P400" s="120"/>
      <c r="Q400" s="125"/>
      <c r="R400" s="125"/>
      <c r="S400" s="125"/>
      <c r="T400" s="125"/>
      <c r="U400" s="125"/>
      <c r="V400" s="125"/>
      <c r="W400" s="183"/>
      <c r="X400" s="125"/>
      <c r="Y400" s="125"/>
      <c r="Z400" s="125"/>
      <c r="AA400" s="139"/>
      <c r="AB400" s="123">
        <f>SUM(표3[[#This Row],[1월]:[12월]])</f>
        <v>0</v>
      </c>
      <c r="AC400" s="140"/>
    </row>
    <row r="401" spans="7:29" ht="21" customHeight="1" x14ac:dyDescent="0.3">
      <c r="G401" s="141"/>
      <c r="H401" s="120"/>
      <c r="I401" s="124"/>
      <c r="J401" s="125"/>
      <c r="K401" s="125"/>
      <c r="L401" s="136">
        <f>표3[[#This Row],[발생연차]]+표3[[#This Row],[추가]]-표3[[#This Row],[공제]]</f>
        <v>0</v>
      </c>
      <c r="M401" s="121"/>
      <c r="N401" s="122"/>
      <c r="O401" s="144">
        <f>표3[[#This Row],[총연차]]-표3[[#This Row],[사용분]]-표3[[#This Row],[연차수당분]]</f>
        <v>0</v>
      </c>
      <c r="P401" s="120"/>
      <c r="Q401" s="125"/>
      <c r="R401" s="125"/>
      <c r="S401" s="125"/>
      <c r="T401" s="125"/>
      <c r="U401" s="125"/>
      <c r="V401" s="125"/>
      <c r="W401" s="183"/>
      <c r="X401" s="125"/>
      <c r="Y401" s="125"/>
      <c r="Z401" s="125"/>
      <c r="AA401" s="139"/>
      <c r="AB401" s="123">
        <f>SUM(표3[[#This Row],[1월]:[12월]])</f>
        <v>0</v>
      </c>
      <c r="AC401" s="140"/>
    </row>
    <row r="402" spans="7:29" ht="21" customHeight="1" x14ac:dyDescent="0.3">
      <c r="G402" s="141"/>
      <c r="H402" s="120"/>
      <c r="I402" s="124"/>
      <c r="J402" s="125"/>
      <c r="K402" s="125"/>
      <c r="L402" s="136">
        <f>표3[[#This Row],[발생연차]]+표3[[#This Row],[추가]]-표3[[#This Row],[공제]]</f>
        <v>0</v>
      </c>
      <c r="M402" s="121"/>
      <c r="N402" s="122"/>
      <c r="O402" s="144">
        <f>표3[[#This Row],[총연차]]-표3[[#This Row],[사용분]]-표3[[#This Row],[연차수당분]]</f>
        <v>0</v>
      </c>
      <c r="P402" s="120"/>
      <c r="Q402" s="125"/>
      <c r="R402" s="125"/>
      <c r="S402" s="125"/>
      <c r="T402" s="125"/>
      <c r="U402" s="125"/>
      <c r="V402" s="125"/>
      <c r="W402" s="183"/>
      <c r="X402" s="125"/>
      <c r="Y402" s="125"/>
      <c r="Z402" s="125"/>
      <c r="AA402" s="139"/>
      <c r="AB402" s="123">
        <f>SUM(표3[[#This Row],[1월]:[12월]])</f>
        <v>0</v>
      </c>
      <c r="AC402" s="140"/>
    </row>
    <row r="403" spans="7:29" ht="21" customHeight="1" x14ac:dyDescent="0.3">
      <c r="G403" s="141"/>
      <c r="H403" s="120"/>
      <c r="I403" s="124"/>
      <c r="J403" s="125"/>
      <c r="K403" s="125"/>
      <c r="L403" s="136">
        <f>표3[[#This Row],[발생연차]]+표3[[#This Row],[추가]]-표3[[#This Row],[공제]]</f>
        <v>0</v>
      </c>
      <c r="M403" s="121"/>
      <c r="N403" s="122"/>
      <c r="O403" s="144">
        <f>표3[[#This Row],[총연차]]-표3[[#This Row],[사용분]]-표3[[#This Row],[연차수당분]]</f>
        <v>0</v>
      </c>
      <c r="P403" s="120"/>
      <c r="Q403" s="125"/>
      <c r="R403" s="125"/>
      <c r="S403" s="125"/>
      <c r="T403" s="125"/>
      <c r="U403" s="125"/>
      <c r="V403" s="125"/>
      <c r="W403" s="183"/>
      <c r="X403" s="125"/>
      <c r="Y403" s="125"/>
      <c r="Z403" s="125"/>
      <c r="AA403" s="139"/>
      <c r="AB403" s="123">
        <f>SUM(표3[[#This Row],[1월]:[12월]])</f>
        <v>0</v>
      </c>
      <c r="AC403" s="140"/>
    </row>
    <row r="404" spans="7:29" ht="21" customHeight="1" x14ac:dyDescent="0.3">
      <c r="G404" s="141"/>
      <c r="H404" s="120"/>
      <c r="I404" s="124"/>
      <c r="J404" s="125"/>
      <c r="K404" s="125"/>
      <c r="L404" s="136">
        <f>표3[[#This Row],[발생연차]]+표3[[#This Row],[추가]]-표3[[#This Row],[공제]]</f>
        <v>0</v>
      </c>
      <c r="M404" s="121"/>
      <c r="N404" s="122"/>
      <c r="O404" s="144">
        <f>표3[[#This Row],[총연차]]-표3[[#This Row],[사용분]]-표3[[#This Row],[연차수당분]]</f>
        <v>0</v>
      </c>
      <c r="P404" s="120"/>
      <c r="Q404" s="125"/>
      <c r="R404" s="125"/>
      <c r="S404" s="125"/>
      <c r="T404" s="125"/>
      <c r="U404" s="125"/>
      <c r="V404" s="125"/>
      <c r="W404" s="183"/>
      <c r="X404" s="125"/>
      <c r="Y404" s="125"/>
      <c r="Z404" s="125"/>
      <c r="AA404" s="139"/>
      <c r="AB404" s="123">
        <f>SUM(표3[[#This Row],[1월]:[12월]])</f>
        <v>0</v>
      </c>
      <c r="AC404" s="140"/>
    </row>
    <row r="405" spans="7:29" ht="21" customHeight="1" x14ac:dyDescent="0.3">
      <c r="G405" s="141"/>
      <c r="H405" s="120"/>
      <c r="I405" s="124"/>
      <c r="J405" s="125"/>
      <c r="K405" s="125"/>
      <c r="L405" s="136">
        <f>표3[[#This Row],[발생연차]]+표3[[#This Row],[추가]]-표3[[#This Row],[공제]]</f>
        <v>0</v>
      </c>
      <c r="M405" s="121"/>
      <c r="N405" s="122"/>
      <c r="O405" s="144">
        <f>표3[[#This Row],[총연차]]-표3[[#This Row],[사용분]]-표3[[#This Row],[연차수당분]]</f>
        <v>0</v>
      </c>
      <c r="P405" s="120"/>
      <c r="Q405" s="125"/>
      <c r="R405" s="125"/>
      <c r="S405" s="125"/>
      <c r="T405" s="125"/>
      <c r="U405" s="125"/>
      <c r="V405" s="125"/>
      <c r="W405" s="183"/>
      <c r="X405" s="125"/>
      <c r="Y405" s="125"/>
      <c r="Z405" s="125"/>
      <c r="AA405" s="139"/>
      <c r="AB405" s="123">
        <f>SUM(표3[[#This Row],[1월]:[12월]])</f>
        <v>0</v>
      </c>
      <c r="AC405" s="140"/>
    </row>
    <row r="406" spans="7:29" ht="21" customHeight="1" x14ac:dyDescent="0.3">
      <c r="G406" s="141"/>
      <c r="H406" s="120"/>
      <c r="I406" s="124"/>
      <c r="J406" s="125"/>
      <c r="K406" s="125"/>
      <c r="L406" s="136">
        <f>표3[[#This Row],[발생연차]]+표3[[#This Row],[추가]]-표3[[#This Row],[공제]]</f>
        <v>0</v>
      </c>
      <c r="M406" s="121"/>
      <c r="N406" s="122"/>
      <c r="O406" s="144">
        <f>표3[[#This Row],[총연차]]-표3[[#This Row],[사용분]]-표3[[#This Row],[연차수당분]]</f>
        <v>0</v>
      </c>
      <c r="P406" s="120"/>
      <c r="Q406" s="125"/>
      <c r="R406" s="125"/>
      <c r="S406" s="125"/>
      <c r="T406" s="125"/>
      <c r="U406" s="125"/>
      <c r="V406" s="125"/>
      <c r="W406" s="183"/>
      <c r="X406" s="125"/>
      <c r="Y406" s="125"/>
      <c r="Z406" s="125"/>
      <c r="AA406" s="139"/>
      <c r="AB406" s="123">
        <f>SUM(표3[[#This Row],[1월]:[12월]])</f>
        <v>0</v>
      </c>
      <c r="AC406" s="140"/>
    </row>
    <row r="407" spans="7:29" ht="21" customHeight="1" x14ac:dyDescent="0.3">
      <c r="G407" s="141"/>
      <c r="H407" s="120"/>
      <c r="I407" s="124"/>
      <c r="J407" s="125"/>
      <c r="K407" s="125"/>
      <c r="L407" s="136">
        <f>표3[[#This Row],[발생연차]]+표3[[#This Row],[추가]]-표3[[#This Row],[공제]]</f>
        <v>0</v>
      </c>
      <c r="M407" s="121"/>
      <c r="N407" s="122"/>
      <c r="O407" s="144">
        <f>표3[[#This Row],[총연차]]-표3[[#This Row],[사용분]]-표3[[#This Row],[연차수당분]]</f>
        <v>0</v>
      </c>
      <c r="P407" s="120"/>
      <c r="Q407" s="125"/>
      <c r="R407" s="125"/>
      <c r="S407" s="125"/>
      <c r="T407" s="125"/>
      <c r="U407" s="125"/>
      <c r="V407" s="125"/>
      <c r="W407" s="183"/>
      <c r="X407" s="125"/>
      <c r="Y407" s="125"/>
      <c r="Z407" s="125"/>
      <c r="AA407" s="139"/>
      <c r="AB407" s="123">
        <f>SUM(표3[[#This Row],[1월]:[12월]])</f>
        <v>0</v>
      </c>
      <c r="AC407" s="140"/>
    </row>
    <row r="408" spans="7:29" ht="21" customHeight="1" x14ac:dyDescent="0.3">
      <c r="G408" s="141"/>
      <c r="H408" s="120"/>
      <c r="I408" s="124"/>
      <c r="J408" s="125"/>
      <c r="K408" s="125"/>
      <c r="L408" s="136">
        <f>표3[[#This Row],[발생연차]]+표3[[#This Row],[추가]]-표3[[#This Row],[공제]]</f>
        <v>0</v>
      </c>
      <c r="M408" s="121"/>
      <c r="N408" s="122"/>
      <c r="O408" s="144">
        <f>표3[[#This Row],[총연차]]-표3[[#This Row],[사용분]]-표3[[#This Row],[연차수당분]]</f>
        <v>0</v>
      </c>
      <c r="P408" s="120"/>
      <c r="Q408" s="125"/>
      <c r="R408" s="125"/>
      <c r="S408" s="125"/>
      <c r="T408" s="125"/>
      <c r="U408" s="125"/>
      <c r="V408" s="125"/>
      <c r="W408" s="183"/>
      <c r="X408" s="125"/>
      <c r="Y408" s="125"/>
      <c r="Z408" s="125"/>
      <c r="AA408" s="139"/>
      <c r="AB408" s="123">
        <f>SUM(표3[[#This Row],[1월]:[12월]])</f>
        <v>0</v>
      </c>
      <c r="AC408" s="140"/>
    </row>
    <row r="409" spans="7:29" ht="21" customHeight="1" x14ac:dyDescent="0.3">
      <c r="G409" s="141"/>
      <c r="H409" s="120"/>
      <c r="I409" s="124"/>
      <c r="J409" s="125"/>
      <c r="K409" s="125"/>
      <c r="L409" s="136">
        <f>표3[[#This Row],[발생연차]]+표3[[#This Row],[추가]]-표3[[#This Row],[공제]]</f>
        <v>0</v>
      </c>
      <c r="M409" s="121"/>
      <c r="N409" s="122"/>
      <c r="O409" s="144">
        <f>표3[[#This Row],[총연차]]-표3[[#This Row],[사용분]]-표3[[#This Row],[연차수당분]]</f>
        <v>0</v>
      </c>
      <c r="P409" s="120"/>
      <c r="Q409" s="125"/>
      <c r="R409" s="125"/>
      <c r="S409" s="125"/>
      <c r="T409" s="125"/>
      <c r="U409" s="125"/>
      <c r="V409" s="125"/>
      <c r="W409" s="183"/>
      <c r="X409" s="125"/>
      <c r="Y409" s="125"/>
      <c r="Z409" s="125"/>
      <c r="AA409" s="139"/>
      <c r="AB409" s="123">
        <f>SUM(표3[[#This Row],[1월]:[12월]])</f>
        <v>0</v>
      </c>
      <c r="AC409" s="140"/>
    </row>
    <row r="410" spans="7:29" ht="21" customHeight="1" x14ac:dyDescent="0.3">
      <c r="G410" s="141"/>
      <c r="H410" s="120"/>
      <c r="I410" s="124"/>
      <c r="J410" s="125"/>
      <c r="K410" s="125"/>
      <c r="L410" s="136">
        <f>표3[[#This Row],[발생연차]]+표3[[#This Row],[추가]]-표3[[#This Row],[공제]]</f>
        <v>0</v>
      </c>
      <c r="M410" s="121"/>
      <c r="N410" s="122"/>
      <c r="O410" s="144">
        <f>표3[[#This Row],[총연차]]-표3[[#This Row],[사용분]]-표3[[#This Row],[연차수당분]]</f>
        <v>0</v>
      </c>
      <c r="P410" s="120"/>
      <c r="Q410" s="125"/>
      <c r="R410" s="125"/>
      <c r="S410" s="125"/>
      <c r="T410" s="125"/>
      <c r="U410" s="125"/>
      <c r="V410" s="125"/>
      <c r="W410" s="183"/>
      <c r="X410" s="125"/>
      <c r="Y410" s="125"/>
      <c r="Z410" s="125"/>
      <c r="AA410" s="139"/>
      <c r="AB410" s="123">
        <f>SUM(표3[[#This Row],[1월]:[12월]])</f>
        <v>0</v>
      </c>
      <c r="AC410" s="140"/>
    </row>
    <row r="411" spans="7:29" ht="21" customHeight="1" x14ac:dyDescent="0.3">
      <c r="G411" s="141"/>
      <c r="H411" s="120"/>
      <c r="I411" s="124"/>
      <c r="J411" s="125"/>
      <c r="K411" s="125"/>
      <c r="L411" s="136">
        <f>표3[[#This Row],[발생연차]]+표3[[#This Row],[추가]]-표3[[#This Row],[공제]]</f>
        <v>0</v>
      </c>
      <c r="M411" s="121"/>
      <c r="N411" s="122"/>
      <c r="O411" s="144">
        <f>표3[[#This Row],[총연차]]-표3[[#This Row],[사용분]]-표3[[#This Row],[연차수당분]]</f>
        <v>0</v>
      </c>
      <c r="P411" s="120"/>
      <c r="Q411" s="125"/>
      <c r="R411" s="125"/>
      <c r="S411" s="125"/>
      <c r="T411" s="125"/>
      <c r="U411" s="125"/>
      <c r="V411" s="125"/>
      <c r="W411" s="183"/>
      <c r="X411" s="125"/>
      <c r="Y411" s="125"/>
      <c r="Z411" s="125"/>
      <c r="AA411" s="139"/>
      <c r="AB411" s="123">
        <f>SUM(표3[[#This Row],[1월]:[12월]])</f>
        <v>0</v>
      </c>
      <c r="AC411" s="140"/>
    </row>
    <row r="412" spans="7:29" ht="21" customHeight="1" x14ac:dyDescent="0.3">
      <c r="G412" s="141"/>
      <c r="H412" s="120"/>
      <c r="I412" s="124"/>
      <c r="J412" s="125"/>
      <c r="K412" s="125"/>
      <c r="L412" s="136">
        <f>표3[[#This Row],[발생연차]]+표3[[#This Row],[추가]]-표3[[#This Row],[공제]]</f>
        <v>0</v>
      </c>
      <c r="M412" s="121"/>
      <c r="N412" s="122"/>
      <c r="O412" s="144">
        <f>표3[[#This Row],[총연차]]-표3[[#This Row],[사용분]]-표3[[#This Row],[연차수당분]]</f>
        <v>0</v>
      </c>
      <c r="P412" s="120"/>
      <c r="Q412" s="125"/>
      <c r="R412" s="125"/>
      <c r="S412" s="125"/>
      <c r="T412" s="125"/>
      <c r="U412" s="125"/>
      <c r="V412" s="125"/>
      <c r="W412" s="183"/>
      <c r="X412" s="125"/>
      <c r="Y412" s="125"/>
      <c r="Z412" s="125"/>
      <c r="AA412" s="139"/>
      <c r="AB412" s="123">
        <f>SUM(표3[[#This Row],[1월]:[12월]])</f>
        <v>0</v>
      </c>
      <c r="AC412" s="140"/>
    </row>
    <row r="413" spans="7:29" ht="21" customHeight="1" x14ac:dyDescent="0.3">
      <c r="G413" s="141"/>
      <c r="H413" s="120"/>
      <c r="I413" s="124"/>
      <c r="J413" s="125"/>
      <c r="K413" s="125"/>
      <c r="L413" s="136">
        <f>표3[[#This Row],[발생연차]]+표3[[#This Row],[추가]]-표3[[#This Row],[공제]]</f>
        <v>0</v>
      </c>
      <c r="M413" s="121"/>
      <c r="N413" s="122"/>
      <c r="O413" s="144">
        <f>표3[[#This Row],[총연차]]-표3[[#This Row],[사용분]]-표3[[#This Row],[연차수당분]]</f>
        <v>0</v>
      </c>
      <c r="P413" s="120"/>
      <c r="Q413" s="125"/>
      <c r="R413" s="125"/>
      <c r="S413" s="125"/>
      <c r="T413" s="125"/>
      <c r="U413" s="125"/>
      <c r="V413" s="125"/>
      <c r="W413" s="183"/>
      <c r="X413" s="125"/>
      <c r="Y413" s="125"/>
      <c r="Z413" s="125"/>
      <c r="AA413" s="139"/>
      <c r="AB413" s="123">
        <f>SUM(표3[[#This Row],[1월]:[12월]])</f>
        <v>0</v>
      </c>
      <c r="AC413" s="140"/>
    </row>
    <row r="414" spans="7:29" ht="21" customHeight="1" x14ac:dyDescent="0.3">
      <c r="G414" s="141"/>
      <c r="H414" s="120"/>
      <c r="I414" s="124"/>
      <c r="J414" s="125"/>
      <c r="K414" s="125"/>
      <c r="L414" s="136">
        <f>표3[[#This Row],[발생연차]]+표3[[#This Row],[추가]]-표3[[#This Row],[공제]]</f>
        <v>0</v>
      </c>
      <c r="M414" s="121"/>
      <c r="N414" s="122"/>
      <c r="O414" s="144">
        <f>표3[[#This Row],[총연차]]-표3[[#This Row],[사용분]]-표3[[#This Row],[연차수당분]]</f>
        <v>0</v>
      </c>
      <c r="P414" s="120"/>
      <c r="Q414" s="125"/>
      <c r="R414" s="125"/>
      <c r="S414" s="125"/>
      <c r="T414" s="125"/>
      <c r="U414" s="125"/>
      <c r="V414" s="125"/>
      <c r="W414" s="183"/>
      <c r="X414" s="125"/>
      <c r="Y414" s="125"/>
      <c r="Z414" s="125"/>
      <c r="AA414" s="139"/>
      <c r="AB414" s="123">
        <f>SUM(표3[[#This Row],[1월]:[12월]])</f>
        <v>0</v>
      </c>
      <c r="AC414" s="140"/>
    </row>
    <row r="415" spans="7:29" ht="21" customHeight="1" x14ac:dyDescent="0.3">
      <c r="G415" s="141"/>
      <c r="H415" s="120"/>
      <c r="I415" s="124"/>
      <c r="J415" s="125"/>
      <c r="K415" s="125"/>
      <c r="L415" s="136">
        <f>표3[[#This Row],[발생연차]]+표3[[#This Row],[추가]]-표3[[#This Row],[공제]]</f>
        <v>0</v>
      </c>
      <c r="M415" s="121"/>
      <c r="N415" s="122"/>
      <c r="O415" s="144">
        <f>표3[[#This Row],[총연차]]-표3[[#This Row],[사용분]]-표3[[#This Row],[연차수당분]]</f>
        <v>0</v>
      </c>
      <c r="P415" s="120"/>
      <c r="Q415" s="125"/>
      <c r="R415" s="125"/>
      <c r="S415" s="125"/>
      <c r="T415" s="125"/>
      <c r="U415" s="125"/>
      <c r="V415" s="125"/>
      <c r="W415" s="183"/>
      <c r="X415" s="125"/>
      <c r="Y415" s="125"/>
      <c r="Z415" s="125"/>
      <c r="AA415" s="139"/>
      <c r="AB415" s="123">
        <f>SUM(표3[[#This Row],[1월]:[12월]])</f>
        <v>0</v>
      </c>
      <c r="AC415" s="140"/>
    </row>
    <row r="416" spans="7:29" ht="21" customHeight="1" x14ac:dyDescent="0.3">
      <c r="G416" s="141"/>
      <c r="H416" s="120"/>
      <c r="I416" s="124"/>
      <c r="J416" s="125"/>
      <c r="K416" s="125"/>
      <c r="L416" s="136">
        <f>표3[[#This Row],[발생연차]]+표3[[#This Row],[추가]]-표3[[#This Row],[공제]]</f>
        <v>0</v>
      </c>
      <c r="M416" s="121"/>
      <c r="N416" s="122"/>
      <c r="O416" s="144">
        <f>표3[[#This Row],[총연차]]-표3[[#This Row],[사용분]]-표3[[#This Row],[연차수당분]]</f>
        <v>0</v>
      </c>
      <c r="P416" s="120"/>
      <c r="Q416" s="125"/>
      <c r="R416" s="125"/>
      <c r="S416" s="125"/>
      <c r="T416" s="125"/>
      <c r="U416" s="125"/>
      <c r="V416" s="125"/>
      <c r="W416" s="183"/>
      <c r="X416" s="125"/>
      <c r="Y416" s="125"/>
      <c r="Z416" s="125"/>
      <c r="AA416" s="139"/>
      <c r="AB416" s="123">
        <f>SUM(표3[[#This Row],[1월]:[12월]])</f>
        <v>0</v>
      </c>
      <c r="AC416" s="140"/>
    </row>
    <row r="417" spans="7:29" ht="21" customHeight="1" x14ac:dyDescent="0.3">
      <c r="G417" s="141"/>
      <c r="H417" s="120"/>
      <c r="I417" s="124"/>
      <c r="J417" s="125"/>
      <c r="K417" s="125"/>
      <c r="L417" s="136">
        <f>표3[[#This Row],[발생연차]]+표3[[#This Row],[추가]]-표3[[#This Row],[공제]]</f>
        <v>0</v>
      </c>
      <c r="M417" s="121"/>
      <c r="N417" s="122"/>
      <c r="O417" s="144">
        <f>표3[[#This Row],[총연차]]-표3[[#This Row],[사용분]]-표3[[#This Row],[연차수당분]]</f>
        <v>0</v>
      </c>
      <c r="P417" s="120"/>
      <c r="Q417" s="125"/>
      <c r="R417" s="125"/>
      <c r="S417" s="125"/>
      <c r="T417" s="125"/>
      <c r="U417" s="125"/>
      <c r="V417" s="125"/>
      <c r="W417" s="183"/>
      <c r="X417" s="125"/>
      <c r="Y417" s="125"/>
      <c r="Z417" s="125"/>
      <c r="AA417" s="139"/>
      <c r="AB417" s="123">
        <f>SUM(표3[[#This Row],[1월]:[12월]])</f>
        <v>0</v>
      </c>
      <c r="AC417" s="140"/>
    </row>
    <row r="418" spans="7:29" ht="21" customHeight="1" x14ac:dyDescent="0.3">
      <c r="G418" s="141"/>
      <c r="H418" s="120"/>
      <c r="I418" s="124"/>
      <c r="J418" s="125"/>
      <c r="K418" s="125"/>
      <c r="L418" s="136">
        <f>표3[[#This Row],[발생연차]]+표3[[#This Row],[추가]]-표3[[#This Row],[공제]]</f>
        <v>0</v>
      </c>
      <c r="M418" s="121"/>
      <c r="N418" s="122"/>
      <c r="O418" s="144">
        <f>표3[[#This Row],[총연차]]-표3[[#This Row],[사용분]]-표3[[#This Row],[연차수당분]]</f>
        <v>0</v>
      </c>
      <c r="P418" s="120"/>
      <c r="Q418" s="125"/>
      <c r="R418" s="125"/>
      <c r="S418" s="125"/>
      <c r="T418" s="125"/>
      <c r="U418" s="125"/>
      <c r="V418" s="125"/>
      <c r="W418" s="183"/>
      <c r="X418" s="125"/>
      <c r="Y418" s="125"/>
      <c r="Z418" s="125"/>
      <c r="AA418" s="139"/>
      <c r="AB418" s="123">
        <f>SUM(표3[[#This Row],[1월]:[12월]])</f>
        <v>0</v>
      </c>
      <c r="AC418" s="140"/>
    </row>
    <row r="419" spans="7:29" ht="21" customHeight="1" x14ac:dyDescent="0.3">
      <c r="G419" s="141"/>
      <c r="H419" s="120"/>
      <c r="I419" s="124"/>
      <c r="J419" s="125"/>
      <c r="K419" s="125"/>
      <c r="L419" s="136">
        <f>표3[[#This Row],[발생연차]]+표3[[#This Row],[추가]]-표3[[#This Row],[공제]]</f>
        <v>0</v>
      </c>
      <c r="M419" s="121"/>
      <c r="N419" s="122"/>
      <c r="O419" s="144">
        <f>표3[[#This Row],[총연차]]-표3[[#This Row],[사용분]]-표3[[#This Row],[연차수당분]]</f>
        <v>0</v>
      </c>
      <c r="P419" s="120"/>
      <c r="Q419" s="125"/>
      <c r="R419" s="125"/>
      <c r="S419" s="125"/>
      <c r="T419" s="125"/>
      <c r="U419" s="125"/>
      <c r="V419" s="125"/>
      <c r="W419" s="183"/>
      <c r="X419" s="125"/>
      <c r="Y419" s="125"/>
      <c r="Z419" s="125"/>
      <c r="AA419" s="139"/>
      <c r="AB419" s="123">
        <f>SUM(표3[[#This Row],[1월]:[12월]])</f>
        <v>0</v>
      </c>
      <c r="AC419" s="140"/>
    </row>
    <row r="420" spans="7:29" ht="21" customHeight="1" x14ac:dyDescent="0.3">
      <c r="G420" s="141"/>
      <c r="H420" s="120"/>
      <c r="I420" s="124"/>
      <c r="J420" s="125"/>
      <c r="K420" s="125"/>
      <c r="L420" s="136">
        <f>표3[[#This Row],[발생연차]]+표3[[#This Row],[추가]]-표3[[#This Row],[공제]]</f>
        <v>0</v>
      </c>
      <c r="M420" s="121"/>
      <c r="N420" s="122"/>
      <c r="O420" s="144">
        <f>표3[[#This Row],[총연차]]-표3[[#This Row],[사용분]]-표3[[#This Row],[연차수당분]]</f>
        <v>0</v>
      </c>
      <c r="P420" s="120"/>
      <c r="Q420" s="125"/>
      <c r="R420" s="125"/>
      <c r="S420" s="125"/>
      <c r="T420" s="125"/>
      <c r="U420" s="125"/>
      <c r="V420" s="125"/>
      <c r="W420" s="183"/>
      <c r="X420" s="125"/>
      <c r="Y420" s="125"/>
      <c r="Z420" s="125"/>
      <c r="AA420" s="139"/>
      <c r="AB420" s="123">
        <f>SUM(표3[[#This Row],[1월]:[12월]])</f>
        <v>0</v>
      </c>
      <c r="AC420" s="140"/>
    </row>
    <row r="421" spans="7:29" ht="21" customHeight="1" x14ac:dyDescent="0.3">
      <c r="G421" s="141"/>
      <c r="H421" s="120"/>
      <c r="I421" s="124"/>
      <c r="J421" s="125"/>
      <c r="K421" s="125"/>
      <c r="L421" s="136">
        <f>표3[[#This Row],[발생연차]]+표3[[#This Row],[추가]]-표3[[#This Row],[공제]]</f>
        <v>0</v>
      </c>
      <c r="M421" s="121"/>
      <c r="N421" s="122"/>
      <c r="O421" s="144">
        <f>표3[[#This Row],[총연차]]-표3[[#This Row],[사용분]]-표3[[#This Row],[연차수당분]]</f>
        <v>0</v>
      </c>
      <c r="P421" s="120"/>
      <c r="Q421" s="125"/>
      <c r="R421" s="125"/>
      <c r="S421" s="125"/>
      <c r="T421" s="125"/>
      <c r="U421" s="125"/>
      <c r="V421" s="125"/>
      <c r="W421" s="183"/>
      <c r="X421" s="125"/>
      <c r="Y421" s="125"/>
      <c r="Z421" s="125"/>
      <c r="AA421" s="139"/>
      <c r="AB421" s="123">
        <f>SUM(표3[[#This Row],[1월]:[12월]])</f>
        <v>0</v>
      </c>
      <c r="AC421" s="140"/>
    </row>
    <row r="422" spans="7:29" ht="21" customHeight="1" x14ac:dyDescent="0.3">
      <c r="G422" s="141"/>
      <c r="H422" s="120"/>
      <c r="I422" s="124"/>
      <c r="J422" s="125"/>
      <c r="K422" s="125"/>
      <c r="L422" s="136">
        <f>표3[[#This Row],[발생연차]]+표3[[#This Row],[추가]]-표3[[#This Row],[공제]]</f>
        <v>0</v>
      </c>
      <c r="M422" s="121"/>
      <c r="N422" s="122"/>
      <c r="O422" s="144">
        <f>표3[[#This Row],[총연차]]-표3[[#This Row],[사용분]]-표3[[#This Row],[연차수당분]]</f>
        <v>0</v>
      </c>
      <c r="P422" s="120"/>
      <c r="Q422" s="125"/>
      <c r="R422" s="125"/>
      <c r="S422" s="125"/>
      <c r="T422" s="125"/>
      <c r="U422" s="125"/>
      <c r="V422" s="125"/>
      <c r="W422" s="183"/>
      <c r="X422" s="125"/>
      <c r="Y422" s="125"/>
      <c r="Z422" s="125"/>
      <c r="AA422" s="139"/>
      <c r="AB422" s="123">
        <f>SUM(표3[[#This Row],[1월]:[12월]])</f>
        <v>0</v>
      </c>
      <c r="AC422" s="140"/>
    </row>
    <row r="423" spans="7:29" ht="21" customHeight="1" x14ac:dyDescent="0.3">
      <c r="G423" s="141"/>
      <c r="H423" s="120"/>
      <c r="I423" s="124"/>
      <c r="J423" s="125"/>
      <c r="K423" s="125"/>
      <c r="L423" s="136">
        <f>표3[[#This Row],[발생연차]]+표3[[#This Row],[추가]]-표3[[#This Row],[공제]]</f>
        <v>0</v>
      </c>
      <c r="M423" s="121"/>
      <c r="N423" s="122"/>
      <c r="O423" s="144">
        <f>표3[[#This Row],[총연차]]-표3[[#This Row],[사용분]]-표3[[#This Row],[연차수당분]]</f>
        <v>0</v>
      </c>
      <c r="P423" s="120"/>
      <c r="Q423" s="125"/>
      <c r="R423" s="125"/>
      <c r="S423" s="125"/>
      <c r="T423" s="125"/>
      <c r="U423" s="125"/>
      <c r="V423" s="125"/>
      <c r="W423" s="183"/>
      <c r="X423" s="125"/>
      <c r="Y423" s="125"/>
      <c r="Z423" s="125"/>
      <c r="AA423" s="139"/>
      <c r="AB423" s="123">
        <f>SUM(표3[[#This Row],[1월]:[12월]])</f>
        <v>0</v>
      </c>
      <c r="AC423" s="140"/>
    </row>
    <row r="424" spans="7:29" ht="21" customHeight="1" x14ac:dyDescent="0.3">
      <c r="G424" s="141"/>
      <c r="H424" s="120"/>
      <c r="I424" s="124"/>
      <c r="J424" s="125"/>
      <c r="K424" s="125"/>
      <c r="L424" s="136">
        <f>표3[[#This Row],[발생연차]]+표3[[#This Row],[추가]]-표3[[#This Row],[공제]]</f>
        <v>0</v>
      </c>
      <c r="M424" s="121"/>
      <c r="N424" s="122"/>
      <c r="O424" s="144">
        <f>표3[[#This Row],[총연차]]-표3[[#This Row],[사용분]]-표3[[#This Row],[연차수당분]]</f>
        <v>0</v>
      </c>
      <c r="P424" s="120"/>
      <c r="Q424" s="125"/>
      <c r="R424" s="125"/>
      <c r="S424" s="125"/>
      <c r="T424" s="125"/>
      <c r="U424" s="125"/>
      <c r="V424" s="125"/>
      <c r="W424" s="183"/>
      <c r="X424" s="125"/>
      <c r="Y424" s="125"/>
      <c r="Z424" s="125"/>
      <c r="AA424" s="139"/>
      <c r="AB424" s="123">
        <f>SUM(표3[[#This Row],[1월]:[12월]])</f>
        <v>0</v>
      </c>
      <c r="AC424" s="140"/>
    </row>
    <row r="425" spans="7:29" ht="21" customHeight="1" x14ac:dyDescent="0.3">
      <c r="G425" s="141"/>
      <c r="H425" s="120"/>
      <c r="I425" s="124"/>
      <c r="J425" s="125"/>
      <c r="K425" s="125"/>
      <c r="L425" s="136">
        <f>표3[[#This Row],[발생연차]]+표3[[#This Row],[추가]]-표3[[#This Row],[공제]]</f>
        <v>0</v>
      </c>
      <c r="M425" s="121"/>
      <c r="N425" s="122"/>
      <c r="O425" s="144">
        <f>표3[[#This Row],[총연차]]-표3[[#This Row],[사용분]]-표3[[#This Row],[연차수당분]]</f>
        <v>0</v>
      </c>
      <c r="P425" s="120"/>
      <c r="Q425" s="125"/>
      <c r="R425" s="125"/>
      <c r="S425" s="125"/>
      <c r="T425" s="125"/>
      <c r="U425" s="125"/>
      <c r="V425" s="125"/>
      <c r="W425" s="183"/>
      <c r="X425" s="125"/>
      <c r="Y425" s="125"/>
      <c r="Z425" s="125"/>
      <c r="AA425" s="139"/>
      <c r="AB425" s="123">
        <f>SUM(표3[[#This Row],[1월]:[12월]])</f>
        <v>0</v>
      </c>
      <c r="AC425" s="140"/>
    </row>
    <row r="426" spans="7:29" ht="21" customHeight="1" x14ac:dyDescent="0.3">
      <c r="G426" s="141"/>
      <c r="H426" s="120"/>
      <c r="I426" s="124"/>
      <c r="J426" s="125"/>
      <c r="K426" s="125"/>
      <c r="L426" s="136">
        <f>표3[[#This Row],[발생연차]]+표3[[#This Row],[추가]]-표3[[#This Row],[공제]]</f>
        <v>0</v>
      </c>
      <c r="M426" s="121"/>
      <c r="N426" s="122"/>
      <c r="O426" s="144">
        <f>표3[[#This Row],[총연차]]-표3[[#This Row],[사용분]]-표3[[#This Row],[연차수당분]]</f>
        <v>0</v>
      </c>
      <c r="P426" s="120"/>
      <c r="Q426" s="125"/>
      <c r="R426" s="125"/>
      <c r="S426" s="125"/>
      <c r="T426" s="125"/>
      <c r="U426" s="125"/>
      <c r="V426" s="125"/>
      <c r="W426" s="183"/>
      <c r="X426" s="125"/>
      <c r="Y426" s="125"/>
      <c r="Z426" s="125"/>
      <c r="AA426" s="139"/>
      <c r="AB426" s="123">
        <f>SUM(표3[[#This Row],[1월]:[12월]])</f>
        <v>0</v>
      </c>
      <c r="AC426" s="140"/>
    </row>
    <row r="427" spans="7:29" ht="21" customHeight="1" x14ac:dyDescent="0.3">
      <c r="G427" s="141"/>
      <c r="H427" s="120"/>
      <c r="I427" s="124"/>
      <c r="J427" s="125"/>
      <c r="K427" s="125"/>
      <c r="L427" s="136">
        <f>표3[[#This Row],[발생연차]]+표3[[#This Row],[추가]]-표3[[#This Row],[공제]]</f>
        <v>0</v>
      </c>
      <c r="M427" s="121"/>
      <c r="N427" s="122"/>
      <c r="O427" s="144">
        <f>표3[[#This Row],[총연차]]-표3[[#This Row],[사용분]]-표3[[#This Row],[연차수당분]]</f>
        <v>0</v>
      </c>
      <c r="P427" s="120"/>
      <c r="Q427" s="125"/>
      <c r="R427" s="125"/>
      <c r="S427" s="125"/>
      <c r="T427" s="125"/>
      <c r="U427" s="125"/>
      <c r="V427" s="125"/>
      <c r="W427" s="183"/>
      <c r="X427" s="125"/>
      <c r="Y427" s="125"/>
      <c r="Z427" s="125"/>
      <c r="AA427" s="139"/>
      <c r="AB427" s="123">
        <f>SUM(표3[[#This Row],[1월]:[12월]])</f>
        <v>0</v>
      </c>
      <c r="AC427" s="140"/>
    </row>
    <row r="428" spans="7:29" ht="21" customHeight="1" x14ac:dyDescent="0.3">
      <c r="G428" s="141"/>
      <c r="H428" s="120"/>
      <c r="I428" s="124"/>
      <c r="J428" s="125"/>
      <c r="K428" s="125"/>
      <c r="L428" s="136">
        <f>표3[[#This Row],[발생연차]]+표3[[#This Row],[추가]]-표3[[#This Row],[공제]]</f>
        <v>0</v>
      </c>
      <c r="M428" s="121"/>
      <c r="N428" s="122"/>
      <c r="O428" s="144">
        <f>표3[[#This Row],[총연차]]-표3[[#This Row],[사용분]]-표3[[#This Row],[연차수당분]]</f>
        <v>0</v>
      </c>
      <c r="P428" s="120"/>
      <c r="Q428" s="125"/>
      <c r="R428" s="125"/>
      <c r="S428" s="125"/>
      <c r="T428" s="125"/>
      <c r="U428" s="125"/>
      <c r="V428" s="125"/>
      <c r="W428" s="183"/>
      <c r="X428" s="125"/>
      <c r="Y428" s="125"/>
      <c r="Z428" s="125"/>
      <c r="AA428" s="139"/>
      <c r="AB428" s="123">
        <f>SUM(표3[[#This Row],[1월]:[12월]])</f>
        <v>0</v>
      </c>
      <c r="AC428" s="140"/>
    </row>
    <row r="429" spans="7:29" ht="21" customHeight="1" x14ac:dyDescent="0.3">
      <c r="G429" s="141"/>
      <c r="H429" s="120"/>
      <c r="I429" s="124"/>
      <c r="J429" s="125"/>
      <c r="K429" s="125"/>
      <c r="L429" s="136">
        <f>표3[[#This Row],[발생연차]]+표3[[#This Row],[추가]]-표3[[#This Row],[공제]]</f>
        <v>0</v>
      </c>
      <c r="M429" s="121"/>
      <c r="N429" s="122"/>
      <c r="O429" s="144">
        <f>표3[[#This Row],[총연차]]-표3[[#This Row],[사용분]]-표3[[#This Row],[연차수당분]]</f>
        <v>0</v>
      </c>
      <c r="P429" s="120"/>
      <c r="Q429" s="125"/>
      <c r="R429" s="125"/>
      <c r="S429" s="125"/>
      <c r="T429" s="125"/>
      <c r="U429" s="125"/>
      <c r="V429" s="125"/>
      <c r="W429" s="183"/>
      <c r="X429" s="125"/>
      <c r="Y429" s="125"/>
      <c r="Z429" s="125"/>
      <c r="AA429" s="139"/>
      <c r="AB429" s="123">
        <f>SUM(표3[[#This Row],[1월]:[12월]])</f>
        <v>0</v>
      </c>
      <c r="AC429" s="140"/>
    </row>
    <row r="430" spans="7:29" ht="21" customHeight="1" x14ac:dyDescent="0.3">
      <c r="G430" s="141"/>
      <c r="H430" s="120"/>
      <c r="I430" s="124"/>
      <c r="J430" s="125"/>
      <c r="K430" s="125"/>
      <c r="L430" s="136">
        <f>표3[[#This Row],[발생연차]]+표3[[#This Row],[추가]]-표3[[#This Row],[공제]]</f>
        <v>0</v>
      </c>
      <c r="M430" s="121"/>
      <c r="N430" s="122"/>
      <c r="O430" s="144">
        <f>표3[[#This Row],[총연차]]-표3[[#This Row],[사용분]]-표3[[#This Row],[연차수당분]]</f>
        <v>0</v>
      </c>
      <c r="P430" s="120"/>
      <c r="Q430" s="125"/>
      <c r="R430" s="125"/>
      <c r="S430" s="125"/>
      <c r="T430" s="125"/>
      <c r="U430" s="125"/>
      <c r="V430" s="125"/>
      <c r="W430" s="183"/>
      <c r="X430" s="125"/>
      <c r="Y430" s="125"/>
      <c r="Z430" s="125"/>
      <c r="AA430" s="139"/>
      <c r="AB430" s="123">
        <f>SUM(표3[[#This Row],[1월]:[12월]])</f>
        <v>0</v>
      </c>
      <c r="AC430" s="140"/>
    </row>
    <row r="431" spans="7:29" ht="21" customHeight="1" x14ac:dyDescent="0.3">
      <c r="G431" s="141"/>
      <c r="H431" s="120"/>
      <c r="I431" s="124"/>
      <c r="J431" s="125"/>
      <c r="K431" s="125"/>
      <c r="L431" s="136">
        <f>표3[[#This Row],[발생연차]]+표3[[#This Row],[추가]]-표3[[#This Row],[공제]]</f>
        <v>0</v>
      </c>
      <c r="M431" s="121"/>
      <c r="N431" s="122"/>
      <c r="O431" s="144">
        <f>표3[[#This Row],[총연차]]-표3[[#This Row],[사용분]]-표3[[#This Row],[연차수당분]]</f>
        <v>0</v>
      </c>
      <c r="P431" s="120"/>
      <c r="Q431" s="125"/>
      <c r="R431" s="125"/>
      <c r="S431" s="125"/>
      <c r="T431" s="125"/>
      <c r="U431" s="125"/>
      <c r="V431" s="125"/>
      <c r="W431" s="183"/>
      <c r="X431" s="125"/>
      <c r="Y431" s="125"/>
      <c r="Z431" s="125"/>
      <c r="AA431" s="139"/>
      <c r="AB431" s="123">
        <f>SUM(표3[[#This Row],[1월]:[12월]])</f>
        <v>0</v>
      </c>
      <c r="AC431" s="140"/>
    </row>
    <row r="432" spans="7:29" ht="21" customHeight="1" x14ac:dyDescent="0.3">
      <c r="G432" s="141"/>
      <c r="H432" s="120"/>
      <c r="I432" s="124"/>
      <c r="J432" s="125"/>
      <c r="K432" s="125"/>
      <c r="L432" s="136">
        <f>표3[[#This Row],[발생연차]]+표3[[#This Row],[추가]]-표3[[#This Row],[공제]]</f>
        <v>0</v>
      </c>
      <c r="M432" s="121"/>
      <c r="N432" s="122"/>
      <c r="O432" s="144">
        <f>표3[[#This Row],[총연차]]-표3[[#This Row],[사용분]]-표3[[#This Row],[연차수당분]]</f>
        <v>0</v>
      </c>
      <c r="P432" s="120"/>
      <c r="Q432" s="125"/>
      <c r="R432" s="125"/>
      <c r="S432" s="125"/>
      <c r="T432" s="125"/>
      <c r="U432" s="125"/>
      <c r="V432" s="125"/>
      <c r="W432" s="183"/>
      <c r="X432" s="125"/>
      <c r="Y432" s="125"/>
      <c r="Z432" s="125"/>
      <c r="AA432" s="139"/>
      <c r="AB432" s="123">
        <f>SUM(표3[[#This Row],[1월]:[12월]])</f>
        <v>0</v>
      </c>
      <c r="AC432" s="140"/>
    </row>
    <row r="433" spans="7:29" ht="21" customHeight="1" x14ac:dyDescent="0.3">
      <c r="G433" s="141"/>
      <c r="H433" s="120"/>
      <c r="I433" s="124"/>
      <c r="J433" s="125"/>
      <c r="K433" s="125"/>
      <c r="L433" s="136">
        <f>표3[[#This Row],[발생연차]]+표3[[#This Row],[추가]]-표3[[#This Row],[공제]]</f>
        <v>0</v>
      </c>
      <c r="M433" s="121"/>
      <c r="N433" s="122"/>
      <c r="O433" s="144">
        <f>표3[[#This Row],[총연차]]-표3[[#This Row],[사용분]]-표3[[#This Row],[연차수당분]]</f>
        <v>0</v>
      </c>
      <c r="P433" s="120"/>
      <c r="Q433" s="125"/>
      <c r="R433" s="125"/>
      <c r="S433" s="125"/>
      <c r="T433" s="125"/>
      <c r="U433" s="125"/>
      <c r="V433" s="125"/>
      <c r="W433" s="183"/>
      <c r="X433" s="125"/>
      <c r="Y433" s="125"/>
      <c r="Z433" s="125"/>
      <c r="AA433" s="139"/>
      <c r="AB433" s="123">
        <f>SUM(표3[[#This Row],[1월]:[12월]])</f>
        <v>0</v>
      </c>
      <c r="AC433" s="140"/>
    </row>
    <row r="434" spans="7:29" ht="21" customHeight="1" x14ac:dyDescent="0.3">
      <c r="G434" s="141"/>
      <c r="H434" s="120"/>
      <c r="I434" s="124"/>
      <c r="J434" s="125"/>
      <c r="K434" s="125"/>
      <c r="L434" s="136">
        <f>표3[[#This Row],[발생연차]]+표3[[#This Row],[추가]]-표3[[#This Row],[공제]]</f>
        <v>0</v>
      </c>
      <c r="M434" s="121"/>
      <c r="N434" s="122"/>
      <c r="O434" s="144">
        <f>표3[[#This Row],[총연차]]-표3[[#This Row],[사용분]]-표3[[#This Row],[연차수당분]]</f>
        <v>0</v>
      </c>
      <c r="P434" s="120"/>
      <c r="Q434" s="125"/>
      <c r="R434" s="125"/>
      <c r="S434" s="125"/>
      <c r="T434" s="125"/>
      <c r="U434" s="125"/>
      <c r="V434" s="125"/>
      <c r="W434" s="183"/>
      <c r="X434" s="125"/>
      <c r="Y434" s="125"/>
      <c r="Z434" s="125"/>
      <c r="AA434" s="139"/>
      <c r="AB434" s="123">
        <f>SUM(표3[[#This Row],[1월]:[12월]])</f>
        <v>0</v>
      </c>
      <c r="AC434" s="140"/>
    </row>
    <row r="435" spans="7:29" ht="21" customHeight="1" x14ac:dyDescent="0.3">
      <c r="G435" s="141"/>
      <c r="H435" s="120"/>
      <c r="I435" s="124"/>
      <c r="J435" s="125"/>
      <c r="K435" s="125"/>
      <c r="L435" s="136">
        <f>표3[[#This Row],[발생연차]]+표3[[#This Row],[추가]]-표3[[#This Row],[공제]]</f>
        <v>0</v>
      </c>
      <c r="M435" s="121"/>
      <c r="N435" s="122"/>
      <c r="O435" s="144">
        <f>표3[[#This Row],[총연차]]-표3[[#This Row],[사용분]]-표3[[#This Row],[연차수당분]]</f>
        <v>0</v>
      </c>
      <c r="P435" s="120"/>
      <c r="Q435" s="125"/>
      <c r="R435" s="125"/>
      <c r="S435" s="125"/>
      <c r="T435" s="125"/>
      <c r="U435" s="125"/>
      <c r="V435" s="125"/>
      <c r="W435" s="183"/>
      <c r="X435" s="125"/>
      <c r="Y435" s="125"/>
      <c r="Z435" s="125"/>
      <c r="AA435" s="139"/>
      <c r="AB435" s="123">
        <f>SUM(표3[[#This Row],[1월]:[12월]])</f>
        <v>0</v>
      </c>
      <c r="AC435" s="140"/>
    </row>
    <row r="436" spans="7:29" ht="21" customHeight="1" x14ac:dyDescent="0.3">
      <c r="G436" s="141"/>
      <c r="H436" s="120"/>
      <c r="I436" s="124"/>
      <c r="J436" s="125"/>
      <c r="K436" s="125"/>
      <c r="L436" s="136">
        <f>표3[[#This Row],[발생연차]]+표3[[#This Row],[추가]]-표3[[#This Row],[공제]]</f>
        <v>0</v>
      </c>
      <c r="M436" s="121"/>
      <c r="N436" s="122"/>
      <c r="O436" s="144">
        <f>표3[[#This Row],[총연차]]-표3[[#This Row],[사용분]]-표3[[#This Row],[연차수당분]]</f>
        <v>0</v>
      </c>
      <c r="P436" s="120"/>
      <c r="Q436" s="125"/>
      <c r="R436" s="125"/>
      <c r="S436" s="125"/>
      <c r="T436" s="125"/>
      <c r="U436" s="125"/>
      <c r="V436" s="125"/>
      <c r="W436" s="183"/>
      <c r="X436" s="125"/>
      <c r="Y436" s="125"/>
      <c r="Z436" s="125"/>
      <c r="AA436" s="139"/>
      <c r="AB436" s="123">
        <f>SUM(표3[[#This Row],[1월]:[12월]])</f>
        <v>0</v>
      </c>
      <c r="AC436" s="140"/>
    </row>
    <row r="437" spans="7:29" ht="21" customHeight="1" x14ac:dyDescent="0.3">
      <c r="G437" s="141"/>
      <c r="H437" s="120"/>
      <c r="I437" s="124"/>
      <c r="J437" s="125"/>
      <c r="K437" s="125"/>
      <c r="L437" s="136">
        <f>표3[[#This Row],[발생연차]]+표3[[#This Row],[추가]]-표3[[#This Row],[공제]]</f>
        <v>0</v>
      </c>
      <c r="M437" s="121"/>
      <c r="N437" s="122"/>
      <c r="O437" s="144">
        <f>표3[[#This Row],[총연차]]-표3[[#This Row],[사용분]]-표3[[#This Row],[연차수당분]]</f>
        <v>0</v>
      </c>
      <c r="P437" s="120"/>
      <c r="Q437" s="125"/>
      <c r="R437" s="125"/>
      <c r="S437" s="125"/>
      <c r="T437" s="125"/>
      <c r="U437" s="125"/>
      <c r="V437" s="125"/>
      <c r="W437" s="183"/>
      <c r="X437" s="125"/>
      <c r="Y437" s="125"/>
      <c r="Z437" s="125"/>
      <c r="AA437" s="139"/>
      <c r="AB437" s="123">
        <f>SUM(표3[[#This Row],[1월]:[12월]])</f>
        <v>0</v>
      </c>
      <c r="AC437" s="140"/>
    </row>
    <row r="438" spans="7:29" ht="21" customHeight="1" x14ac:dyDescent="0.3">
      <c r="G438" s="141"/>
      <c r="H438" s="120"/>
      <c r="I438" s="124"/>
      <c r="J438" s="125"/>
      <c r="K438" s="125"/>
      <c r="L438" s="136">
        <f>표3[[#This Row],[발생연차]]+표3[[#This Row],[추가]]-표3[[#This Row],[공제]]</f>
        <v>0</v>
      </c>
      <c r="M438" s="121"/>
      <c r="N438" s="122"/>
      <c r="O438" s="144">
        <f>표3[[#This Row],[총연차]]-표3[[#This Row],[사용분]]-표3[[#This Row],[연차수당분]]</f>
        <v>0</v>
      </c>
      <c r="P438" s="120"/>
      <c r="Q438" s="125"/>
      <c r="R438" s="125"/>
      <c r="S438" s="125"/>
      <c r="T438" s="125"/>
      <c r="U438" s="125"/>
      <c r="V438" s="125"/>
      <c r="W438" s="183"/>
      <c r="X438" s="125"/>
      <c r="Y438" s="125"/>
      <c r="Z438" s="125"/>
      <c r="AA438" s="139"/>
      <c r="AB438" s="123">
        <f>SUM(표3[[#This Row],[1월]:[12월]])</f>
        <v>0</v>
      </c>
      <c r="AC438" s="140"/>
    </row>
    <row r="439" spans="7:29" ht="21" customHeight="1" x14ac:dyDescent="0.3">
      <c r="G439" s="141"/>
      <c r="H439" s="120"/>
      <c r="I439" s="124"/>
      <c r="J439" s="125"/>
      <c r="K439" s="125"/>
      <c r="L439" s="136">
        <f>표3[[#This Row],[발생연차]]+표3[[#This Row],[추가]]-표3[[#This Row],[공제]]</f>
        <v>0</v>
      </c>
      <c r="M439" s="121"/>
      <c r="N439" s="122"/>
      <c r="O439" s="144">
        <f>표3[[#This Row],[총연차]]-표3[[#This Row],[사용분]]-표3[[#This Row],[연차수당분]]</f>
        <v>0</v>
      </c>
      <c r="P439" s="120"/>
      <c r="Q439" s="125"/>
      <c r="R439" s="125"/>
      <c r="S439" s="125"/>
      <c r="T439" s="125"/>
      <c r="U439" s="125"/>
      <c r="V439" s="125"/>
      <c r="W439" s="183"/>
      <c r="X439" s="125"/>
      <c r="Y439" s="125"/>
      <c r="Z439" s="125"/>
      <c r="AA439" s="139"/>
      <c r="AB439" s="123">
        <f>SUM(표3[[#This Row],[1월]:[12월]])</f>
        <v>0</v>
      </c>
      <c r="AC439" s="140"/>
    </row>
    <row r="440" spans="7:29" ht="21" customHeight="1" x14ac:dyDescent="0.3">
      <c r="G440" s="141"/>
      <c r="H440" s="120"/>
      <c r="I440" s="124"/>
      <c r="J440" s="125"/>
      <c r="K440" s="125"/>
      <c r="L440" s="136">
        <f>표3[[#This Row],[발생연차]]+표3[[#This Row],[추가]]-표3[[#This Row],[공제]]</f>
        <v>0</v>
      </c>
      <c r="M440" s="121"/>
      <c r="N440" s="122"/>
      <c r="O440" s="144">
        <f>표3[[#This Row],[총연차]]-표3[[#This Row],[사용분]]-표3[[#This Row],[연차수당분]]</f>
        <v>0</v>
      </c>
      <c r="P440" s="120"/>
      <c r="Q440" s="125"/>
      <c r="R440" s="125"/>
      <c r="S440" s="125"/>
      <c r="T440" s="125"/>
      <c r="U440" s="125"/>
      <c r="V440" s="125"/>
      <c r="W440" s="183"/>
      <c r="X440" s="125"/>
      <c r="Y440" s="125"/>
      <c r="Z440" s="125"/>
      <c r="AA440" s="139"/>
      <c r="AB440" s="123">
        <f>SUM(표3[[#This Row],[1월]:[12월]])</f>
        <v>0</v>
      </c>
      <c r="AC440" s="140"/>
    </row>
    <row r="441" spans="7:29" ht="21" customHeight="1" x14ac:dyDescent="0.3">
      <c r="G441" s="141"/>
      <c r="H441" s="120"/>
      <c r="I441" s="124"/>
      <c r="J441" s="125"/>
      <c r="K441" s="125"/>
      <c r="L441" s="136">
        <f>표3[[#This Row],[발생연차]]+표3[[#This Row],[추가]]-표3[[#This Row],[공제]]</f>
        <v>0</v>
      </c>
      <c r="M441" s="121"/>
      <c r="N441" s="122"/>
      <c r="O441" s="144">
        <f>표3[[#This Row],[총연차]]-표3[[#This Row],[사용분]]-표3[[#This Row],[연차수당분]]</f>
        <v>0</v>
      </c>
      <c r="P441" s="120"/>
      <c r="Q441" s="125"/>
      <c r="R441" s="125"/>
      <c r="S441" s="125"/>
      <c r="T441" s="125"/>
      <c r="U441" s="125"/>
      <c r="V441" s="125"/>
      <c r="W441" s="183"/>
      <c r="X441" s="125"/>
      <c r="Y441" s="125"/>
      <c r="Z441" s="125"/>
      <c r="AA441" s="139"/>
      <c r="AB441" s="123">
        <f>SUM(표3[[#This Row],[1월]:[12월]])</f>
        <v>0</v>
      </c>
      <c r="AC441" s="140"/>
    </row>
    <row r="442" spans="7:29" ht="21" customHeight="1" x14ac:dyDescent="0.3">
      <c r="G442" s="141"/>
      <c r="H442" s="120"/>
      <c r="I442" s="124"/>
      <c r="J442" s="125"/>
      <c r="K442" s="125"/>
      <c r="L442" s="136">
        <f>표3[[#This Row],[발생연차]]+표3[[#This Row],[추가]]-표3[[#This Row],[공제]]</f>
        <v>0</v>
      </c>
      <c r="M442" s="121"/>
      <c r="N442" s="122"/>
      <c r="O442" s="144">
        <f>표3[[#This Row],[총연차]]-표3[[#This Row],[사용분]]-표3[[#This Row],[연차수당분]]</f>
        <v>0</v>
      </c>
      <c r="P442" s="120"/>
      <c r="Q442" s="125"/>
      <c r="R442" s="125"/>
      <c r="S442" s="125"/>
      <c r="T442" s="125"/>
      <c r="U442" s="125"/>
      <c r="V442" s="125"/>
      <c r="W442" s="183"/>
      <c r="X442" s="125"/>
      <c r="Y442" s="125"/>
      <c r="Z442" s="125"/>
      <c r="AA442" s="139"/>
      <c r="AB442" s="123">
        <f>SUM(표3[[#This Row],[1월]:[12월]])</f>
        <v>0</v>
      </c>
      <c r="AC442" s="140"/>
    </row>
    <row r="443" spans="7:29" ht="21" customHeight="1" x14ac:dyDescent="0.3">
      <c r="G443" s="141"/>
      <c r="H443" s="120"/>
      <c r="I443" s="124"/>
      <c r="J443" s="125"/>
      <c r="K443" s="125"/>
      <c r="L443" s="136">
        <f>표3[[#This Row],[발생연차]]+표3[[#This Row],[추가]]-표3[[#This Row],[공제]]</f>
        <v>0</v>
      </c>
      <c r="M443" s="121"/>
      <c r="N443" s="122"/>
      <c r="O443" s="144">
        <f>표3[[#This Row],[총연차]]-표3[[#This Row],[사용분]]-표3[[#This Row],[연차수당분]]</f>
        <v>0</v>
      </c>
      <c r="P443" s="120"/>
      <c r="Q443" s="125"/>
      <c r="R443" s="125"/>
      <c r="S443" s="125"/>
      <c r="T443" s="125"/>
      <c r="U443" s="125"/>
      <c r="V443" s="125"/>
      <c r="W443" s="183"/>
      <c r="X443" s="125"/>
      <c r="Y443" s="125"/>
      <c r="Z443" s="125"/>
      <c r="AA443" s="139"/>
      <c r="AB443" s="123">
        <f>SUM(표3[[#This Row],[1월]:[12월]])</f>
        <v>0</v>
      </c>
      <c r="AC443" s="140"/>
    </row>
    <row r="444" spans="7:29" ht="21" customHeight="1" x14ac:dyDescent="0.3">
      <c r="G444" s="141"/>
      <c r="H444" s="120"/>
      <c r="I444" s="124"/>
      <c r="J444" s="125"/>
      <c r="K444" s="125"/>
      <c r="L444" s="136">
        <f>표3[[#This Row],[발생연차]]+표3[[#This Row],[추가]]-표3[[#This Row],[공제]]</f>
        <v>0</v>
      </c>
      <c r="M444" s="121"/>
      <c r="N444" s="122"/>
      <c r="O444" s="144">
        <f>표3[[#This Row],[총연차]]-표3[[#This Row],[사용분]]-표3[[#This Row],[연차수당분]]</f>
        <v>0</v>
      </c>
      <c r="P444" s="120"/>
      <c r="Q444" s="125"/>
      <c r="R444" s="125"/>
      <c r="S444" s="125"/>
      <c r="T444" s="125"/>
      <c r="U444" s="125"/>
      <c r="V444" s="125"/>
      <c r="W444" s="183"/>
      <c r="X444" s="125"/>
      <c r="Y444" s="125"/>
      <c r="Z444" s="125"/>
      <c r="AA444" s="139"/>
      <c r="AB444" s="123">
        <f>SUM(표3[[#This Row],[1월]:[12월]])</f>
        <v>0</v>
      </c>
      <c r="AC444" s="140"/>
    </row>
    <row r="445" spans="7:29" ht="21" customHeight="1" x14ac:dyDescent="0.3">
      <c r="G445" s="141"/>
      <c r="H445" s="120"/>
      <c r="I445" s="124"/>
      <c r="J445" s="125"/>
      <c r="K445" s="125"/>
      <c r="L445" s="136">
        <f>표3[[#This Row],[발생연차]]+표3[[#This Row],[추가]]-표3[[#This Row],[공제]]</f>
        <v>0</v>
      </c>
      <c r="M445" s="121"/>
      <c r="N445" s="122"/>
      <c r="O445" s="144">
        <f>표3[[#This Row],[총연차]]-표3[[#This Row],[사용분]]-표3[[#This Row],[연차수당분]]</f>
        <v>0</v>
      </c>
      <c r="P445" s="120"/>
      <c r="Q445" s="125"/>
      <c r="R445" s="125"/>
      <c r="S445" s="125"/>
      <c r="T445" s="125"/>
      <c r="U445" s="125"/>
      <c r="V445" s="125"/>
      <c r="W445" s="183"/>
      <c r="X445" s="125"/>
      <c r="Y445" s="125"/>
      <c r="Z445" s="125"/>
      <c r="AA445" s="139"/>
      <c r="AB445" s="123">
        <f>SUM(표3[[#This Row],[1월]:[12월]])</f>
        <v>0</v>
      </c>
      <c r="AC445" s="140"/>
    </row>
    <row r="446" spans="7:29" ht="21" customHeight="1" x14ac:dyDescent="0.3">
      <c r="G446" s="141"/>
      <c r="H446" s="120"/>
      <c r="I446" s="124"/>
      <c r="J446" s="125"/>
      <c r="K446" s="125"/>
      <c r="L446" s="136">
        <f>표3[[#This Row],[발생연차]]+표3[[#This Row],[추가]]-표3[[#This Row],[공제]]</f>
        <v>0</v>
      </c>
      <c r="M446" s="121"/>
      <c r="N446" s="122"/>
      <c r="O446" s="144">
        <f>표3[[#This Row],[총연차]]-표3[[#This Row],[사용분]]-표3[[#This Row],[연차수당분]]</f>
        <v>0</v>
      </c>
      <c r="P446" s="120"/>
      <c r="Q446" s="125"/>
      <c r="R446" s="125"/>
      <c r="S446" s="125"/>
      <c r="T446" s="125"/>
      <c r="U446" s="125"/>
      <c r="V446" s="125"/>
      <c r="W446" s="183"/>
      <c r="X446" s="125"/>
      <c r="Y446" s="125"/>
      <c r="Z446" s="125"/>
      <c r="AA446" s="139"/>
      <c r="AB446" s="123">
        <f>SUM(표3[[#This Row],[1월]:[12월]])</f>
        <v>0</v>
      </c>
      <c r="AC446" s="140"/>
    </row>
    <row r="447" spans="7:29" ht="21" customHeight="1" x14ac:dyDescent="0.3">
      <c r="G447" s="141"/>
      <c r="H447" s="120"/>
      <c r="I447" s="124"/>
      <c r="J447" s="125"/>
      <c r="K447" s="125"/>
      <c r="L447" s="136">
        <f>표3[[#This Row],[발생연차]]+표3[[#This Row],[추가]]-표3[[#This Row],[공제]]</f>
        <v>0</v>
      </c>
      <c r="M447" s="121"/>
      <c r="N447" s="122"/>
      <c r="O447" s="144">
        <f>표3[[#This Row],[총연차]]-표3[[#This Row],[사용분]]-표3[[#This Row],[연차수당분]]</f>
        <v>0</v>
      </c>
      <c r="P447" s="120"/>
      <c r="Q447" s="125"/>
      <c r="R447" s="125"/>
      <c r="S447" s="125"/>
      <c r="T447" s="125"/>
      <c r="U447" s="125"/>
      <c r="V447" s="125"/>
      <c r="W447" s="183"/>
      <c r="X447" s="125"/>
      <c r="Y447" s="125"/>
      <c r="Z447" s="125"/>
      <c r="AA447" s="139"/>
      <c r="AB447" s="123">
        <f>SUM(표3[[#This Row],[1월]:[12월]])</f>
        <v>0</v>
      </c>
      <c r="AC447" s="140"/>
    </row>
    <row r="448" spans="7:29" ht="21" customHeight="1" x14ac:dyDescent="0.3">
      <c r="G448" s="141"/>
      <c r="H448" s="120"/>
      <c r="I448" s="124"/>
      <c r="J448" s="125"/>
      <c r="K448" s="125"/>
      <c r="L448" s="136">
        <f>표3[[#This Row],[발생연차]]+표3[[#This Row],[추가]]-표3[[#This Row],[공제]]</f>
        <v>0</v>
      </c>
      <c r="M448" s="121"/>
      <c r="N448" s="122"/>
      <c r="O448" s="144">
        <f>표3[[#This Row],[총연차]]-표3[[#This Row],[사용분]]-표3[[#This Row],[연차수당분]]</f>
        <v>0</v>
      </c>
      <c r="P448" s="120"/>
      <c r="Q448" s="125"/>
      <c r="R448" s="125"/>
      <c r="S448" s="125"/>
      <c r="T448" s="125"/>
      <c r="U448" s="125"/>
      <c r="V448" s="125"/>
      <c r="W448" s="183"/>
      <c r="X448" s="125"/>
      <c r="Y448" s="125"/>
      <c r="Z448" s="125"/>
      <c r="AA448" s="139"/>
      <c r="AB448" s="123">
        <f>SUM(표3[[#This Row],[1월]:[12월]])</f>
        <v>0</v>
      </c>
      <c r="AC448" s="140"/>
    </row>
    <row r="449" spans="7:29" ht="21" customHeight="1" x14ac:dyDescent="0.3">
      <c r="G449" s="141"/>
      <c r="H449" s="120"/>
      <c r="I449" s="124"/>
      <c r="J449" s="125"/>
      <c r="K449" s="125"/>
      <c r="L449" s="136">
        <f>표3[[#This Row],[발생연차]]+표3[[#This Row],[추가]]-표3[[#This Row],[공제]]</f>
        <v>0</v>
      </c>
      <c r="M449" s="121"/>
      <c r="N449" s="122"/>
      <c r="O449" s="144">
        <f>표3[[#This Row],[총연차]]-표3[[#This Row],[사용분]]-표3[[#This Row],[연차수당분]]</f>
        <v>0</v>
      </c>
      <c r="P449" s="120"/>
      <c r="Q449" s="125"/>
      <c r="R449" s="125"/>
      <c r="S449" s="125"/>
      <c r="T449" s="125"/>
      <c r="U449" s="125"/>
      <c r="V449" s="125"/>
      <c r="W449" s="183"/>
      <c r="X449" s="125"/>
      <c r="Y449" s="125"/>
      <c r="Z449" s="125"/>
      <c r="AA449" s="139"/>
      <c r="AB449" s="123">
        <f>SUM(표3[[#This Row],[1월]:[12월]])</f>
        <v>0</v>
      </c>
      <c r="AC449" s="140"/>
    </row>
    <row r="450" spans="7:29" ht="21" customHeight="1" x14ac:dyDescent="0.3">
      <c r="G450" s="141"/>
      <c r="H450" s="120"/>
      <c r="I450" s="124"/>
      <c r="J450" s="125"/>
      <c r="K450" s="125"/>
      <c r="L450" s="136">
        <f>표3[[#This Row],[발생연차]]+표3[[#This Row],[추가]]-표3[[#This Row],[공제]]</f>
        <v>0</v>
      </c>
      <c r="M450" s="121"/>
      <c r="N450" s="122"/>
      <c r="O450" s="144">
        <f>표3[[#This Row],[총연차]]-표3[[#This Row],[사용분]]-표3[[#This Row],[연차수당분]]</f>
        <v>0</v>
      </c>
      <c r="P450" s="120"/>
      <c r="Q450" s="125"/>
      <c r="R450" s="125"/>
      <c r="S450" s="125"/>
      <c r="T450" s="125"/>
      <c r="U450" s="125"/>
      <c r="V450" s="125"/>
      <c r="W450" s="183"/>
      <c r="X450" s="125"/>
      <c r="Y450" s="125"/>
      <c r="Z450" s="125"/>
      <c r="AA450" s="139"/>
      <c r="AB450" s="123">
        <f>SUM(표3[[#This Row],[1월]:[12월]])</f>
        <v>0</v>
      </c>
      <c r="AC450" s="140"/>
    </row>
    <row r="451" spans="7:29" ht="21" customHeight="1" x14ac:dyDescent="0.3">
      <c r="G451" s="141"/>
      <c r="H451" s="120"/>
      <c r="I451" s="124"/>
      <c r="J451" s="125"/>
      <c r="K451" s="125"/>
      <c r="L451" s="136">
        <f>표3[[#This Row],[발생연차]]+표3[[#This Row],[추가]]-표3[[#This Row],[공제]]</f>
        <v>0</v>
      </c>
      <c r="M451" s="121"/>
      <c r="N451" s="122"/>
      <c r="O451" s="144">
        <f>표3[[#This Row],[총연차]]-표3[[#This Row],[사용분]]-표3[[#This Row],[연차수당분]]</f>
        <v>0</v>
      </c>
      <c r="P451" s="120"/>
      <c r="Q451" s="125"/>
      <c r="R451" s="125"/>
      <c r="S451" s="125"/>
      <c r="T451" s="125"/>
      <c r="U451" s="125"/>
      <c r="V451" s="125"/>
      <c r="W451" s="183"/>
      <c r="X451" s="125"/>
      <c r="Y451" s="125"/>
      <c r="Z451" s="125"/>
      <c r="AA451" s="139"/>
      <c r="AB451" s="123">
        <f>SUM(표3[[#This Row],[1월]:[12월]])</f>
        <v>0</v>
      </c>
      <c r="AC451" s="140"/>
    </row>
    <row r="452" spans="7:29" ht="21" customHeight="1" x14ac:dyDescent="0.3">
      <c r="G452" s="141"/>
      <c r="H452" s="120"/>
      <c r="I452" s="124"/>
      <c r="J452" s="125"/>
      <c r="K452" s="125"/>
      <c r="L452" s="136">
        <f>표3[[#This Row],[발생연차]]+표3[[#This Row],[추가]]-표3[[#This Row],[공제]]</f>
        <v>0</v>
      </c>
      <c r="M452" s="121"/>
      <c r="N452" s="122"/>
      <c r="O452" s="144">
        <f>표3[[#This Row],[총연차]]-표3[[#This Row],[사용분]]-표3[[#This Row],[연차수당분]]</f>
        <v>0</v>
      </c>
      <c r="P452" s="120"/>
      <c r="Q452" s="125"/>
      <c r="R452" s="125"/>
      <c r="S452" s="125"/>
      <c r="T452" s="125"/>
      <c r="U452" s="125"/>
      <c r="V452" s="125"/>
      <c r="W452" s="183"/>
      <c r="X452" s="125"/>
      <c r="Y452" s="125"/>
      <c r="Z452" s="125"/>
      <c r="AA452" s="139"/>
      <c r="AB452" s="123">
        <f>SUM(표3[[#This Row],[1월]:[12월]])</f>
        <v>0</v>
      </c>
      <c r="AC452" s="140"/>
    </row>
    <row r="453" spans="7:29" ht="21" customHeight="1" x14ac:dyDescent="0.3">
      <c r="G453" s="141"/>
      <c r="H453" s="120"/>
      <c r="I453" s="124"/>
      <c r="J453" s="125"/>
      <c r="K453" s="125"/>
      <c r="L453" s="136">
        <f>표3[[#This Row],[발생연차]]+표3[[#This Row],[추가]]-표3[[#This Row],[공제]]</f>
        <v>0</v>
      </c>
      <c r="M453" s="121"/>
      <c r="N453" s="122"/>
      <c r="O453" s="144">
        <f>표3[[#This Row],[총연차]]-표3[[#This Row],[사용분]]-표3[[#This Row],[연차수당분]]</f>
        <v>0</v>
      </c>
      <c r="P453" s="120"/>
      <c r="Q453" s="125"/>
      <c r="R453" s="125"/>
      <c r="S453" s="125"/>
      <c r="T453" s="125"/>
      <c r="U453" s="125"/>
      <c r="V453" s="125"/>
      <c r="W453" s="183"/>
      <c r="X453" s="125"/>
      <c r="Y453" s="125"/>
      <c r="Z453" s="125"/>
      <c r="AA453" s="139"/>
      <c r="AB453" s="123">
        <f>SUM(표3[[#This Row],[1월]:[12월]])</f>
        <v>0</v>
      </c>
      <c r="AC453" s="140"/>
    </row>
    <row r="454" spans="7:29" ht="21" customHeight="1" x14ac:dyDescent="0.3">
      <c r="G454" s="141"/>
      <c r="H454" s="120"/>
      <c r="I454" s="124"/>
      <c r="J454" s="125"/>
      <c r="K454" s="125"/>
      <c r="L454" s="136">
        <f>표3[[#This Row],[발생연차]]+표3[[#This Row],[추가]]-표3[[#This Row],[공제]]</f>
        <v>0</v>
      </c>
      <c r="M454" s="121"/>
      <c r="N454" s="122"/>
      <c r="O454" s="144">
        <f>표3[[#This Row],[총연차]]-표3[[#This Row],[사용분]]-표3[[#This Row],[연차수당분]]</f>
        <v>0</v>
      </c>
      <c r="P454" s="120"/>
      <c r="Q454" s="125"/>
      <c r="R454" s="125"/>
      <c r="S454" s="125"/>
      <c r="T454" s="125"/>
      <c r="U454" s="125"/>
      <c r="V454" s="125"/>
      <c r="W454" s="183"/>
      <c r="X454" s="125"/>
      <c r="Y454" s="125"/>
      <c r="Z454" s="125"/>
      <c r="AA454" s="139"/>
      <c r="AB454" s="123">
        <f>SUM(표3[[#This Row],[1월]:[12월]])</f>
        <v>0</v>
      </c>
      <c r="AC454" s="140"/>
    </row>
    <row r="455" spans="7:29" ht="21" customHeight="1" x14ac:dyDescent="0.3">
      <c r="G455" s="141"/>
      <c r="H455" s="120"/>
      <c r="I455" s="124"/>
      <c r="J455" s="125"/>
      <c r="K455" s="125"/>
      <c r="L455" s="136">
        <f>표3[[#This Row],[발생연차]]+표3[[#This Row],[추가]]-표3[[#This Row],[공제]]</f>
        <v>0</v>
      </c>
      <c r="M455" s="121"/>
      <c r="N455" s="122"/>
      <c r="O455" s="144">
        <f>표3[[#This Row],[총연차]]-표3[[#This Row],[사용분]]-표3[[#This Row],[연차수당분]]</f>
        <v>0</v>
      </c>
      <c r="P455" s="120"/>
      <c r="Q455" s="125"/>
      <c r="R455" s="125"/>
      <c r="S455" s="125"/>
      <c r="T455" s="125"/>
      <c r="U455" s="125"/>
      <c r="V455" s="125"/>
      <c r="W455" s="183"/>
      <c r="X455" s="125"/>
      <c r="Y455" s="125"/>
      <c r="Z455" s="125"/>
      <c r="AA455" s="139"/>
      <c r="AB455" s="123">
        <f>SUM(표3[[#This Row],[1월]:[12월]])</f>
        <v>0</v>
      </c>
      <c r="AC455" s="140"/>
    </row>
    <row r="456" spans="7:29" ht="21" customHeight="1" x14ac:dyDescent="0.3">
      <c r="G456" s="141"/>
      <c r="H456" s="120"/>
      <c r="I456" s="124"/>
      <c r="J456" s="125"/>
      <c r="K456" s="125"/>
      <c r="L456" s="136">
        <f>표3[[#This Row],[발생연차]]+표3[[#This Row],[추가]]-표3[[#This Row],[공제]]</f>
        <v>0</v>
      </c>
      <c r="M456" s="121"/>
      <c r="N456" s="122"/>
      <c r="O456" s="144">
        <f>표3[[#This Row],[총연차]]-표3[[#This Row],[사용분]]-표3[[#This Row],[연차수당분]]</f>
        <v>0</v>
      </c>
      <c r="P456" s="120"/>
      <c r="Q456" s="125"/>
      <c r="R456" s="125"/>
      <c r="S456" s="125"/>
      <c r="T456" s="125"/>
      <c r="U456" s="125"/>
      <c r="V456" s="125"/>
      <c r="W456" s="183"/>
      <c r="X456" s="125"/>
      <c r="Y456" s="125"/>
      <c r="Z456" s="125"/>
      <c r="AA456" s="139"/>
      <c r="AB456" s="123">
        <f>SUM(표3[[#This Row],[1월]:[12월]])</f>
        <v>0</v>
      </c>
      <c r="AC456" s="140"/>
    </row>
    <row r="457" spans="7:29" ht="21" customHeight="1" x14ac:dyDescent="0.3">
      <c r="G457" s="141"/>
      <c r="H457" s="120"/>
      <c r="I457" s="124"/>
      <c r="J457" s="125"/>
      <c r="K457" s="125"/>
      <c r="L457" s="136">
        <f>표3[[#This Row],[발생연차]]+표3[[#This Row],[추가]]-표3[[#This Row],[공제]]</f>
        <v>0</v>
      </c>
      <c r="M457" s="121"/>
      <c r="N457" s="122"/>
      <c r="O457" s="144">
        <f>표3[[#This Row],[총연차]]-표3[[#This Row],[사용분]]-표3[[#This Row],[연차수당분]]</f>
        <v>0</v>
      </c>
      <c r="P457" s="120"/>
      <c r="Q457" s="125"/>
      <c r="R457" s="125"/>
      <c r="S457" s="125"/>
      <c r="T457" s="125"/>
      <c r="U457" s="125"/>
      <c r="V457" s="125"/>
      <c r="W457" s="183"/>
      <c r="X457" s="125"/>
      <c r="Y457" s="125"/>
      <c r="Z457" s="125"/>
      <c r="AA457" s="139"/>
      <c r="AB457" s="123">
        <f>SUM(표3[[#This Row],[1월]:[12월]])</f>
        <v>0</v>
      </c>
      <c r="AC457" s="140"/>
    </row>
    <row r="458" spans="7:29" ht="21" customHeight="1" x14ac:dyDescent="0.3">
      <c r="G458" s="141"/>
      <c r="H458" s="120"/>
      <c r="I458" s="124"/>
      <c r="J458" s="125"/>
      <c r="K458" s="125"/>
      <c r="L458" s="136">
        <f>표3[[#This Row],[발생연차]]+표3[[#This Row],[추가]]-표3[[#This Row],[공제]]</f>
        <v>0</v>
      </c>
      <c r="M458" s="121"/>
      <c r="N458" s="122"/>
      <c r="O458" s="144">
        <f>표3[[#This Row],[총연차]]-표3[[#This Row],[사용분]]-표3[[#This Row],[연차수당분]]</f>
        <v>0</v>
      </c>
      <c r="P458" s="120"/>
      <c r="Q458" s="125"/>
      <c r="R458" s="125"/>
      <c r="S458" s="125"/>
      <c r="T458" s="125"/>
      <c r="U458" s="125"/>
      <c r="V458" s="125"/>
      <c r="W458" s="183"/>
      <c r="X458" s="125"/>
      <c r="Y458" s="125"/>
      <c r="Z458" s="125"/>
      <c r="AA458" s="139"/>
      <c r="AB458" s="123">
        <f>SUM(표3[[#This Row],[1월]:[12월]])</f>
        <v>0</v>
      </c>
      <c r="AC458" s="140"/>
    </row>
    <row r="459" spans="7:29" ht="21" customHeight="1" x14ac:dyDescent="0.3">
      <c r="G459" s="141"/>
      <c r="H459" s="120"/>
      <c r="I459" s="124"/>
      <c r="J459" s="125"/>
      <c r="K459" s="125"/>
      <c r="L459" s="136">
        <f>표3[[#This Row],[발생연차]]+표3[[#This Row],[추가]]-표3[[#This Row],[공제]]</f>
        <v>0</v>
      </c>
      <c r="M459" s="121"/>
      <c r="N459" s="122"/>
      <c r="O459" s="144">
        <f>표3[[#This Row],[총연차]]-표3[[#This Row],[사용분]]-표3[[#This Row],[연차수당분]]</f>
        <v>0</v>
      </c>
      <c r="P459" s="120"/>
      <c r="Q459" s="125"/>
      <c r="R459" s="125"/>
      <c r="S459" s="125"/>
      <c r="T459" s="125"/>
      <c r="U459" s="125"/>
      <c r="V459" s="125"/>
      <c r="W459" s="183"/>
      <c r="X459" s="125"/>
      <c r="Y459" s="125"/>
      <c r="Z459" s="125"/>
      <c r="AA459" s="139"/>
      <c r="AB459" s="123">
        <f>SUM(표3[[#This Row],[1월]:[12월]])</f>
        <v>0</v>
      </c>
      <c r="AC459" s="140"/>
    </row>
    <row r="460" spans="7:29" ht="21" customHeight="1" x14ac:dyDescent="0.3">
      <c r="G460" s="141"/>
      <c r="H460" s="120"/>
      <c r="I460" s="124"/>
      <c r="J460" s="125"/>
      <c r="K460" s="125"/>
      <c r="L460" s="136">
        <f>표3[[#This Row],[발생연차]]+표3[[#This Row],[추가]]-표3[[#This Row],[공제]]</f>
        <v>0</v>
      </c>
      <c r="M460" s="121"/>
      <c r="N460" s="122"/>
      <c r="O460" s="144">
        <f>표3[[#This Row],[총연차]]-표3[[#This Row],[사용분]]-표3[[#This Row],[연차수당분]]</f>
        <v>0</v>
      </c>
      <c r="P460" s="120"/>
      <c r="Q460" s="125"/>
      <c r="R460" s="125"/>
      <c r="S460" s="125"/>
      <c r="T460" s="125"/>
      <c r="U460" s="125"/>
      <c r="V460" s="125"/>
      <c r="W460" s="183"/>
      <c r="X460" s="125"/>
      <c r="Y460" s="125"/>
      <c r="Z460" s="125"/>
      <c r="AA460" s="139"/>
      <c r="AB460" s="123">
        <f>SUM(표3[[#This Row],[1월]:[12월]])</f>
        <v>0</v>
      </c>
      <c r="AC460" s="140"/>
    </row>
    <row r="461" spans="7:29" ht="21" customHeight="1" x14ac:dyDescent="0.3">
      <c r="G461" s="141"/>
      <c r="H461" s="120"/>
      <c r="I461" s="124"/>
      <c r="J461" s="125"/>
      <c r="K461" s="125"/>
      <c r="L461" s="136">
        <f>표3[[#This Row],[발생연차]]+표3[[#This Row],[추가]]-표3[[#This Row],[공제]]</f>
        <v>0</v>
      </c>
      <c r="M461" s="121"/>
      <c r="N461" s="122"/>
      <c r="O461" s="144">
        <f>표3[[#This Row],[총연차]]-표3[[#This Row],[사용분]]-표3[[#This Row],[연차수당분]]</f>
        <v>0</v>
      </c>
      <c r="P461" s="120"/>
      <c r="Q461" s="125"/>
      <c r="R461" s="125"/>
      <c r="S461" s="125"/>
      <c r="T461" s="125"/>
      <c r="U461" s="125"/>
      <c r="V461" s="125"/>
      <c r="W461" s="183"/>
      <c r="X461" s="125"/>
      <c r="Y461" s="125"/>
      <c r="Z461" s="125"/>
      <c r="AA461" s="139"/>
      <c r="AB461" s="123">
        <f>SUM(표3[[#This Row],[1월]:[12월]])</f>
        <v>0</v>
      </c>
      <c r="AC461" s="140"/>
    </row>
    <row r="462" spans="7:29" ht="21" customHeight="1" x14ac:dyDescent="0.3">
      <c r="G462" s="141"/>
      <c r="H462" s="120"/>
      <c r="I462" s="124"/>
      <c r="J462" s="125"/>
      <c r="K462" s="125"/>
      <c r="L462" s="136">
        <f>표3[[#This Row],[발생연차]]+표3[[#This Row],[추가]]-표3[[#This Row],[공제]]</f>
        <v>0</v>
      </c>
      <c r="M462" s="121"/>
      <c r="N462" s="122"/>
      <c r="O462" s="144">
        <f>표3[[#This Row],[총연차]]-표3[[#This Row],[사용분]]-표3[[#This Row],[연차수당분]]</f>
        <v>0</v>
      </c>
      <c r="P462" s="120"/>
      <c r="Q462" s="125"/>
      <c r="R462" s="125"/>
      <c r="S462" s="125"/>
      <c r="T462" s="125"/>
      <c r="U462" s="125"/>
      <c r="V462" s="125"/>
      <c r="W462" s="183"/>
      <c r="X462" s="125"/>
      <c r="Y462" s="125"/>
      <c r="Z462" s="125"/>
      <c r="AA462" s="139"/>
      <c r="AB462" s="123">
        <f>SUM(표3[[#This Row],[1월]:[12월]])</f>
        <v>0</v>
      </c>
      <c r="AC462" s="140"/>
    </row>
    <row r="463" spans="7:29" ht="21" customHeight="1" x14ac:dyDescent="0.3">
      <c r="G463" s="141"/>
      <c r="H463" s="120"/>
      <c r="I463" s="124"/>
      <c r="J463" s="125"/>
      <c r="K463" s="125"/>
      <c r="L463" s="136">
        <f>표3[[#This Row],[발생연차]]+표3[[#This Row],[추가]]-표3[[#This Row],[공제]]</f>
        <v>0</v>
      </c>
      <c r="M463" s="121"/>
      <c r="N463" s="122"/>
      <c r="O463" s="144">
        <f>표3[[#This Row],[총연차]]-표3[[#This Row],[사용분]]-표3[[#This Row],[연차수당분]]</f>
        <v>0</v>
      </c>
      <c r="P463" s="120"/>
      <c r="Q463" s="125"/>
      <c r="R463" s="125"/>
      <c r="S463" s="125"/>
      <c r="T463" s="125"/>
      <c r="U463" s="125"/>
      <c r="V463" s="125"/>
      <c r="W463" s="183"/>
      <c r="X463" s="125"/>
      <c r="Y463" s="125"/>
      <c r="Z463" s="125"/>
      <c r="AA463" s="139"/>
      <c r="AB463" s="123">
        <f>SUM(표3[[#This Row],[1월]:[12월]])</f>
        <v>0</v>
      </c>
      <c r="AC463" s="140"/>
    </row>
    <row r="464" spans="7:29" ht="21" customHeight="1" x14ac:dyDescent="0.3">
      <c r="G464" s="141"/>
      <c r="H464" s="120"/>
      <c r="I464" s="124"/>
      <c r="J464" s="125"/>
      <c r="K464" s="125"/>
      <c r="L464" s="136">
        <f>표3[[#This Row],[발생연차]]+표3[[#This Row],[추가]]-표3[[#This Row],[공제]]</f>
        <v>0</v>
      </c>
      <c r="M464" s="121"/>
      <c r="N464" s="122"/>
      <c r="O464" s="144">
        <f>표3[[#This Row],[총연차]]-표3[[#This Row],[사용분]]-표3[[#This Row],[연차수당분]]</f>
        <v>0</v>
      </c>
      <c r="P464" s="120"/>
      <c r="Q464" s="125"/>
      <c r="R464" s="125"/>
      <c r="S464" s="125"/>
      <c r="T464" s="125"/>
      <c r="U464" s="125"/>
      <c r="V464" s="125"/>
      <c r="W464" s="183"/>
      <c r="X464" s="125"/>
      <c r="Y464" s="125"/>
      <c r="Z464" s="125"/>
      <c r="AA464" s="139"/>
      <c r="AB464" s="123">
        <f>SUM(표3[[#This Row],[1월]:[12월]])</f>
        <v>0</v>
      </c>
      <c r="AC464" s="140"/>
    </row>
    <row r="465" spans="7:29" ht="21" customHeight="1" x14ac:dyDescent="0.3">
      <c r="G465" s="141"/>
      <c r="H465" s="120"/>
      <c r="I465" s="124"/>
      <c r="J465" s="125"/>
      <c r="K465" s="125"/>
      <c r="L465" s="136">
        <f>표3[[#This Row],[발생연차]]+표3[[#This Row],[추가]]-표3[[#This Row],[공제]]</f>
        <v>0</v>
      </c>
      <c r="M465" s="121"/>
      <c r="N465" s="122"/>
      <c r="O465" s="144">
        <f>표3[[#This Row],[총연차]]-표3[[#This Row],[사용분]]-표3[[#This Row],[연차수당분]]</f>
        <v>0</v>
      </c>
      <c r="P465" s="120"/>
      <c r="Q465" s="125"/>
      <c r="R465" s="125"/>
      <c r="S465" s="125"/>
      <c r="T465" s="125"/>
      <c r="U465" s="125"/>
      <c r="V465" s="125"/>
      <c r="W465" s="183"/>
      <c r="X465" s="125"/>
      <c r="Y465" s="125"/>
      <c r="Z465" s="125"/>
      <c r="AA465" s="139"/>
      <c r="AB465" s="123">
        <f>SUM(표3[[#This Row],[1월]:[12월]])</f>
        <v>0</v>
      </c>
      <c r="AC465" s="140"/>
    </row>
    <row r="466" spans="7:29" ht="21" customHeight="1" x14ac:dyDescent="0.3">
      <c r="G466" s="141"/>
      <c r="H466" s="120"/>
      <c r="I466" s="124"/>
      <c r="J466" s="125"/>
      <c r="K466" s="125"/>
      <c r="L466" s="136">
        <f>표3[[#This Row],[발생연차]]+표3[[#This Row],[추가]]-표3[[#This Row],[공제]]</f>
        <v>0</v>
      </c>
      <c r="M466" s="121"/>
      <c r="N466" s="122"/>
      <c r="O466" s="144">
        <f>표3[[#This Row],[총연차]]-표3[[#This Row],[사용분]]-표3[[#This Row],[연차수당분]]</f>
        <v>0</v>
      </c>
      <c r="P466" s="120"/>
      <c r="Q466" s="125"/>
      <c r="R466" s="125"/>
      <c r="S466" s="125"/>
      <c r="T466" s="125"/>
      <c r="U466" s="125"/>
      <c r="V466" s="125"/>
      <c r="W466" s="183"/>
      <c r="X466" s="125"/>
      <c r="Y466" s="125"/>
      <c r="Z466" s="125"/>
      <c r="AA466" s="139"/>
      <c r="AB466" s="123">
        <f>SUM(표3[[#This Row],[1월]:[12월]])</f>
        <v>0</v>
      </c>
      <c r="AC466" s="140"/>
    </row>
  </sheetData>
  <sheetProtection algorithmName="SHA-512" hashValue="bIJJVwIpY8DO/kZfxiEOtnEupnC4N8dcio2p5lLKg2d5YK45BJYooHumuNPaFxgDH9Cdg65IaEa1zC/vowjDGQ==" saltValue="kUkvK+1JJo6HM3dDdnbdKg==" spinCount="100000" sheet="1" objects="1" scenarios="1" formatCells="0" formatColumns="0" formatRows="0" sort="0"/>
  <phoneticPr fontId="2" type="noConversion"/>
  <conditionalFormatting sqref="O3:P3">
    <cfRule type="expression" dxfId="74" priority="8">
      <formula>$O$3=TODAY()</formula>
    </cfRule>
  </conditionalFormatting>
  <conditionalFormatting sqref="Q3:R3">
    <cfRule type="expression" dxfId="73" priority="7">
      <formula>$Q$3=TODAY()</formula>
    </cfRule>
  </conditionalFormatting>
  <conditionalFormatting sqref="S3:T3">
    <cfRule type="expression" dxfId="72" priority="6">
      <formula>$S$3=TODAY()</formula>
    </cfRule>
  </conditionalFormatting>
  <conditionalFormatting sqref="U3:V3">
    <cfRule type="expression" dxfId="71" priority="5">
      <formula>$U$3=TODAY()</formula>
    </cfRule>
  </conditionalFormatting>
  <conditionalFormatting sqref="W3:X3">
    <cfRule type="expression" dxfId="70" priority="4">
      <formula>$W$3=TODAY()</formula>
    </cfRule>
  </conditionalFormatting>
  <conditionalFormatting sqref="Y3:Z3">
    <cfRule type="expression" dxfId="69" priority="3">
      <formula>$Y$3=TODAY()</formula>
    </cfRule>
  </conditionalFormatting>
  <conditionalFormatting sqref="AA3:AB3">
    <cfRule type="expression" dxfId="68" priority="2">
      <formula>$AA$3=TODAY()</formula>
    </cfRule>
  </conditionalFormatting>
  <conditionalFormatting sqref="B7:B466">
    <cfRule type="expression" dxfId="67" priority="795">
      <formula>COUNTIF($B$7:$B$466,B7)&gt;1</formula>
    </cfRule>
  </conditionalFormatting>
  <dataValidations xWindow="45" yWindow="387" count="2">
    <dataValidation type="list" allowBlank="1" showInputMessage="1" showErrorMessage="1" prompt="변경사항 적용은 [현황갱신] 버튼을 클릭해 주세요." sqref="K3" xr:uid="{08F6F323-32D7-4067-A75D-FBF335FEF1E6}">
      <formula1>"휴가+연차, 연차"</formula1>
    </dataValidation>
    <dataValidation allowBlank="1" showInputMessage="1" showErrorMessage="1" errorTitle="중복" sqref="B7" xr:uid="{E223C36E-71EF-464B-87BA-72D42EEB98D8}"/>
  </dataValidations>
  <printOptions horizontalCentered="1"/>
  <pageMargins left="0.39370078740157483" right="0.39370078740157483" top="0.39370078740157483" bottom="0.39370078740157483" header="0" footer="0"/>
  <pageSetup paperSize="9" scale="52" orientation="landscape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E13ABF94-8092-418A-ABF8-9F1EFA434B1D}">
            <xm:f>AND(YEAR(TODAY())=setting!$A$1,MONTH(TODAY())&amp;"월"=P$6)</xm:f>
            <x14:dxf>
              <font>
                <b/>
                <i val="0"/>
              </font>
              <fill>
                <patternFill>
                  <bgColor rgb="FFF5EEEB"/>
                </patternFill>
              </fill>
            </x14:dxf>
          </x14:cfRule>
          <xm:sqref>P6:AA466</xm:sqref>
        </x14:conditionalFormatting>
        <x14:conditionalFormatting xmlns:xm="http://schemas.microsoft.com/office/excel/2006/main">
          <x14:cfRule type="expression" priority="1" id="{C6996A5A-C370-44AC-AE57-66CBCEC1B3C5}">
            <xm:f>OR(AND(TODAY()&gt;=setting!AB3,TODAY()&lt;=setting!AB4),AND(TODAY()&gt;=setting!AB5-10,TODAY()&lt;=setting!AB5))</xm:f>
            <x14:dxf>
              <font>
                <b/>
                <i val="0"/>
                <color rgb="FFFF0000"/>
              </font>
            </x14:dxf>
          </x14:cfRule>
          <xm:sqref>AC1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522F5-25E9-4424-9E25-D3FD814A06BC}">
  <sheetPr codeName="Sheet5">
    <pageSetUpPr autoPageBreaks="0"/>
  </sheetPr>
  <dimension ref="B1:H179"/>
  <sheetViews>
    <sheetView showGridLines="0" showZeros="0" topLeftCell="A71" zoomScaleNormal="100" workbookViewId="0">
      <selection activeCell="H86" sqref="H86"/>
    </sheetView>
  </sheetViews>
  <sheetFormatPr defaultColWidth="9" defaultRowHeight="21" customHeight="1" x14ac:dyDescent="0.3"/>
  <cols>
    <col min="1" max="1" width="1.25" style="1" customWidth="1"/>
    <col min="2" max="2" width="8.75" style="2" customWidth="1"/>
    <col min="3" max="3" width="15" style="2" customWidth="1"/>
    <col min="4" max="7" width="10" style="2" customWidth="1"/>
    <col min="8" max="8" width="27.5" style="16" customWidth="1"/>
    <col min="9" max="16384" width="9" style="1"/>
  </cols>
  <sheetData>
    <row r="1" spans="2:8" ht="37.5" customHeight="1" x14ac:dyDescent="0.3">
      <c r="B1" s="9" t="s">
        <v>30</v>
      </c>
      <c r="C1" s="1"/>
      <c r="D1" s="1"/>
      <c r="E1" s="1"/>
      <c r="F1" s="1"/>
      <c r="G1" s="1"/>
      <c r="H1" s="1"/>
    </row>
    <row r="2" spans="2:8" ht="22.5" customHeight="1" thickBot="1" x14ac:dyDescent="0.35">
      <c r="B2" s="11" t="s">
        <v>31</v>
      </c>
      <c r="C2" s="11" t="s">
        <v>8</v>
      </c>
      <c r="D2" s="18" t="s">
        <v>9</v>
      </c>
      <c r="E2" s="11" t="s">
        <v>32</v>
      </c>
      <c r="F2" s="11" t="s">
        <v>33</v>
      </c>
      <c r="G2" s="11" t="s">
        <v>34</v>
      </c>
      <c r="H2" s="11" t="s">
        <v>23</v>
      </c>
    </row>
    <row r="3" spans="2:8" ht="21" customHeight="1" x14ac:dyDescent="0.3">
      <c r="B3" s="2" t="s">
        <v>222</v>
      </c>
      <c r="C3" s="2" t="s">
        <v>235</v>
      </c>
      <c r="D3" s="20" t="s">
        <v>243</v>
      </c>
      <c r="E3" s="2">
        <v>2021</v>
      </c>
      <c r="F3" s="2">
        <v>15</v>
      </c>
      <c r="H3" s="16" t="s">
        <v>257</v>
      </c>
    </row>
    <row r="4" spans="2:8" ht="21" customHeight="1" x14ac:dyDescent="0.3">
      <c r="B4" s="2" t="s">
        <v>310</v>
      </c>
      <c r="C4" s="2" t="s">
        <v>232</v>
      </c>
      <c r="D4" s="20" t="s">
        <v>240</v>
      </c>
      <c r="E4" s="2">
        <v>2021</v>
      </c>
      <c r="G4" s="2">
        <v>5</v>
      </c>
      <c r="H4" s="16" t="s">
        <v>262</v>
      </c>
    </row>
    <row r="5" spans="2:8" ht="21" customHeight="1" x14ac:dyDescent="0.3">
      <c r="B5" s="2" t="s">
        <v>216</v>
      </c>
      <c r="C5" s="2" t="s">
        <v>233</v>
      </c>
      <c r="D5" s="20" t="s">
        <v>240</v>
      </c>
      <c r="E5" s="2">
        <v>2021</v>
      </c>
      <c r="G5" s="2">
        <v>0.5</v>
      </c>
      <c r="H5" s="16" t="s">
        <v>263</v>
      </c>
    </row>
    <row r="6" spans="2:8" ht="21" customHeight="1" x14ac:dyDescent="0.3">
      <c r="B6" s="2" t="s">
        <v>310</v>
      </c>
      <c r="C6" s="2" t="s">
        <v>232</v>
      </c>
      <c r="D6" s="20" t="s">
        <v>240</v>
      </c>
      <c r="E6" s="2">
        <v>2016</v>
      </c>
      <c r="G6" s="2">
        <v>1.5</v>
      </c>
      <c r="H6" s="16" t="s">
        <v>263</v>
      </c>
    </row>
    <row r="7" spans="2:8" ht="21" customHeight="1" x14ac:dyDescent="0.3">
      <c r="B7" s="2" t="s">
        <v>310</v>
      </c>
      <c r="C7" s="2" t="s">
        <v>232</v>
      </c>
      <c r="D7" s="20" t="s">
        <v>240</v>
      </c>
      <c r="E7" s="2">
        <v>2017</v>
      </c>
      <c r="G7" s="2">
        <v>15</v>
      </c>
      <c r="H7" s="16" t="s">
        <v>263</v>
      </c>
    </row>
    <row r="8" spans="2:8" ht="21" customHeight="1" x14ac:dyDescent="0.3">
      <c r="B8" s="2" t="s">
        <v>310</v>
      </c>
      <c r="C8" s="2" t="s">
        <v>232</v>
      </c>
      <c r="D8" s="20" t="s">
        <v>240</v>
      </c>
      <c r="E8" s="2">
        <v>2018</v>
      </c>
      <c r="G8" s="2">
        <v>15</v>
      </c>
      <c r="H8" s="16" t="s">
        <v>263</v>
      </c>
    </row>
    <row r="9" spans="2:8" ht="21" customHeight="1" x14ac:dyDescent="0.3">
      <c r="B9" s="2" t="s">
        <v>310</v>
      </c>
      <c r="C9" s="2" t="s">
        <v>232</v>
      </c>
      <c r="D9" s="20" t="s">
        <v>240</v>
      </c>
      <c r="E9" s="2">
        <v>2019</v>
      </c>
      <c r="G9" s="2">
        <v>16</v>
      </c>
      <c r="H9" s="16" t="s">
        <v>263</v>
      </c>
    </row>
    <row r="10" spans="2:8" ht="21" customHeight="1" x14ac:dyDescent="0.3">
      <c r="B10" s="2" t="s">
        <v>310</v>
      </c>
      <c r="C10" s="2" t="s">
        <v>232</v>
      </c>
      <c r="D10" s="20" t="s">
        <v>240</v>
      </c>
      <c r="E10" s="2">
        <v>2020</v>
      </c>
      <c r="G10" s="2">
        <v>16</v>
      </c>
      <c r="H10" s="16" t="s">
        <v>263</v>
      </c>
    </row>
    <row r="11" spans="2:8" ht="21" customHeight="1" x14ac:dyDescent="0.3">
      <c r="B11" s="2" t="s">
        <v>215</v>
      </c>
      <c r="C11" s="2" t="s">
        <v>232</v>
      </c>
      <c r="D11" s="20" t="s">
        <v>239</v>
      </c>
      <c r="E11" s="2">
        <v>2010</v>
      </c>
      <c r="G11" s="2">
        <v>27.5</v>
      </c>
    </row>
    <row r="12" spans="2:8" ht="21" customHeight="1" x14ac:dyDescent="0.3">
      <c r="B12" s="2" t="s">
        <v>215</v>
      </c>
      <c r="C12" s="2" t="s">
        <v>232</v>
      </c>
      <c r="D12" s="20" t="s">
        <v>239</v>
      </c>
      <c r="E12" s="2">
        <v>2011</v>
      </c>
      <c r="G12" s="2">
        <v>15</v>
      </c>
    </row>
    <row r="13" spans="2:8" ht="21" customHeight="1" x14ac:dyDescent="0.3">
      <c r="B13" s="2" t="s">
        <v>215</v>
      </c>
      <c r="C13" s="2" t="s">
        <v>232</v>
      </c>
      <c r="D13" s="20" t="s">
        <v>239</v>
      </c>
      <c r="E13" s="2">
        <v>2012</v>
      </c>
      <c r="G13" s="2">
        <v>16</v>
      </c>
    </row>
    <row r="14" spans="2:8" ht="21" customHeight="1" x14ac:dyDescent="0.3">
      <c r="B14" s="2" t="s">
        <v>215</v>
      </c>
      <c r="C14" s="2" t="s">
        <v>232</v>
      </c>
      <c r="D14" s="20" t="s">
        <v>239</v>
      </c>
      <c r="E14" s="2">
        <v>2013</v>
      </c>
      <c r="G14" s="2">
        <v>16</v>
      </c>
    </row>
    <row r="15" spans="2:8" ht="21" customHeight="1" x14ac:dyDescent="0.3">
      <c r="B15" s="2" t="s">
        <v>215</v>
      </c>
      <c r="C15" s="2" t="s">
        <v>232</v>
      </c>
      <c r="D15" s="20" t="s">
        <v>239</v>
      </c>
      <c r="E15" s="2">
        <v>2014</v>
      </c>
      <c r="G15" s="2">
        <v>17</v>
      </c>
    </row>
    <row r="16" spans="2:8" ht="21" customHeight="1" x14ac:dyDescent="0.3">
      <c r="B16" s="2" t="s">
        <v>215</v>
      </c>
      <c r="C16" s="2" t="s">
        <v>232</v>
      </c>
      <c r="D16" s="20" t="s">
        <v>239</v>
      </c>
      <c r="E16" s="2">
        <v>2015</v>
      </c>
      <c r="G16" s="2">
        <v>17</v>
      </c>
    </row>
    <row r="17" spans="2:8" ht="21" customHeight="1" x14ac:dyDescent="0.3">
      <c r="B17" s="2" t="s">
        <v>215</v>
      </c>
      <c r="C17" s="2" t="s">
        <v>232</v>
      </c>
      <c r="D17" s="20" t="s">
        <v>239</v>
      </c>
      <c r="E17" s="2">
        <v>2016</v>
      </c>
      <c r="G17" s="2">
        <v>18</v>
      </c>
    </row>
    <row r="18" spans="2:8" ht="21" customHeight="1" x14ac:dyDescent="0.3">
      <c r="B18" s="2" t="s">
        <v>215</v>
      </c>
      <c r="C18" s="2" t="s">
        <v>232</v>
      </c>
      <c r="D18" s="20" t="s">
        <v>239</v>
      </c>
      <c r="E18" s="2">
        <v>2017</v>
      </c>
      <c r="G18" s="2">
        <v>18</v>
      </c>
    </row>
    <row r="19" spans="2:8" ht="21" customHeight="1" x14ac:dyDescent="0.3">
      <c r="B19" s="2" t="s">
        <v>215</v>
      </c>
      <c r="C19" s="2" t="s">
        <v>232</v>
      </c>
      <c r="D19" s="20" t="s">
        <v>239</v>
      </c>
      <c r="E19" s="2">
        <v>2018</v>
      </c>
      <c r="G19" s="2">
        <v>19</v>
      </c>
    </row>
    <row r="20" spans="2:8" ht="21" customHeight="1" x14ac:dyDescent="0.3">
      <c r="B20" s="2" t="s">
        <v>215</v>
      </c>
      <c r="C20" s="2" t="s">
        <v>232</v>
      </c>
      <c r="D20" s="20" t="s">
        <v>239</v>
      </c>
      <c r="E20" s="2">
        <v>2019</v>
      </c>
      <c r="G20" s="2">
        <v>19</v>
      </c>
    </row>
    <row r="21" spans="2:8" ht="21" customHeight="1" x14ac:dyDescent="0.3">
      <c r="B21" s="2" t="s">
        <v>215</v>
      </c>
      <c r="C21" s="2" t="s">
        <v>232</v>
      </c>
      <c r="D21" s="20" t="s">
        <v>239</v>
      </c>
      <c r="E21" s="2">
        <v>2020</v>
      </c>
      <c r="G21" s="2">
        <v>20</v>
      </c>
    </row>
    <row r="22" spans="2:8" ht="21" customHeight="1" x14ac:dyDescent="0.3">
      <c r="B22" s="2" t="s">
        <v>216</v>
      </c>
      <c r="C22" s="2" t="s">
        <v>233</v>
      </c>
      <c r="D22" s="20" t="s">
        <v>240</v>
      </c>
      <c r="E22" s="2">
        <v>2014</v>
      </c>
      <c r="G22" s="2">
        <v>6.5</v>
      </c>
    </row>
    <row r="23" spans="2:8" ht="21" customHeight="1" x14ac:dyDescent="0.3">
      <c r="B23" s="2" t="s">
        <v>216</v>
      </c>
      <c r="C23" s="2" t="s">
        <v>233</v>
      </c>
      <c r="D23" s="20" t="s">
        <v>240</v>
      </c>
      <c r="E23" s="2">
        <v>2015</v>
      </c>
      <c r="G23" s="2">
        <v>15</v>
      </c>
    </row>
    <row r="24" spans="2:8" ht="21" customHeight="1" x14ac:dyDescent="0.3">
      <c r="B24" s="2" t="s">
        <v>216</v>
      </c>
      <c r="C24" s="2" t="s">
        <v>233</v>
      </c>
      <c r="D24" s="20" t="s">
        <v>240</v>
      </c>
      <c r="E24" s="2">
        <v>2016</v>
      </c>
      <c r="G24" s="2">
        <v>15</v>
      </c>
    </row>
    <row r="25" spans="2:8" ht="21" customHeight="1" x14ac:dyDescent="0.3">
      <c r="B25" s="2" t="s">
        <v>216</v>
      </c>
      <c r="C25" s="2" t="s">
        <v>233</v>
      </c>
      <c r="D25" s="20" t="s">
        <v>240</v>
      </c>
      <c r="E25" s="2">
        <v>2017</v>
      </c>
      <c r="G25" s="2">
        <v>16</v>
      </c>
    </row>
    <row r="26" spans="2:8" ht="21" customHeight="1" x14ac:dyDescent="0.3">
      <c r="B26" s="2" t="s">
        <v>216</v>
      </c>
      <c r="C26" s="2" t="s">
        <v>233</v>
      </c>
      <c r="D26" s="20" t="s">
        <v>240</v>
      </c>
      <c r="E26" s="2">
        <v>2018</v>
      </c>
      <c r="G26" s="2">
        <v>16</v>
      </c>
    </row>
    <row r="27" spans="2:8" ht="21" customHeight="1" x14ac:dyDescent="0.3">
      <c r="B27" s="2" t="s">
        <v>216</v>
      </c>
      <c r="C27" s="2" t="s">
        <v>233</v>
      </c>
      <c r="D27" s="20" t="s">
        <v>240</v>
      </c>
      <c r="E27" s="2">
        <v>2019</v>
      </c>
      <c r="G27" s="2">
        <v>17</v>
      </c>
    </row>
    <row r="28" spans="2:8" ht="21" customHeight="1" x14ac:dyDescent="0.3">
      <c r="B28" s="2" t="s">
        <v>216</v>
      </c>
      <c r="C28" s="2" t="s">
        <v>233</v>
      </c>
      <c r="D28" s="20" t="s">
        <v>240</v>
      </c>
      <c r="E28" s="2">
        <v>2020</v>
      </c>
      <c r="G28" s="2">
        <v>17</v>
      </c>
    </row>
    <row r="29" spans="2:8" ht="21" customHeight="1" x14ac:dyDescent="0.3">
      <c r="B29" s="2" t="s">
        <v>310</v>
      </c>
      <c r="C29" s="2" t="s">
        <v>232</v>
      </c>
      <c r="D29" s="20" t="s">
        <v>240</v>
      </c>
      <c r="E29" s="2">
        <v>2021</v>
      </c>
      <c r="F29" s="2">
        <v>1</v>
      </c>
      <c r="H29" s="16" t="s">
        <v>270</v>
      </c>
    </row>
    <row r="30" spans="2:8" ht="21" customHeight="1" x14ac:dyDescent="0.3">
      <c r="B30" s="2" t="s">
        <v>267</v>
      </c>
      <c r="C30" s="2" t="s">
        <v>232</v>
      </c>
      <c r="D30" s="20" t="s">
        <v>241</v>
      </c>
      <c r="E30" s="2">
        <v>2021</v>
      </c>
      <c r="F30" s="2">
        <v>1</v>
      </c>
      <c r="H30" s="16" t="s">
        <v>271</v>
      </c>
    </row>
    <row r="31" spans="2:8" ht="21" customHeight="1" x14ac:dyDescent="0.3">
      <c r="B31" s="2" t="s">
        <v>216</v>
      </c>
      <c r="C31" s="2" t="s">
        <v>233</v>
      </c>
      <c r="D31" s="20" t="s">
        <v>240</v>
      </c>
      <c r="E31" s="2">
        <v>2021</v>
      </c>
      <c r="F31" s="2">
        <v>1</v>
      </c>
      <c r="H31" s="16" t="s">
        <v>252</v>
      </c>
    </row>
    <row r="32" spans="2:8" ht="21" customHeight="1" x14ac:dyDescent="0.3">
      <c r="B32" s="2" t="s">
        <v>219</v>
      </c>
      <c r="C32" s="2" t="s">
        <v>233</v>
      </c>
      <c r="D32" s="20" t="s">
        <v>241</v>
      </c>
      <c r="E32" s="2">
        <v>2021</v>
      </c>
      <c r="F32" s="2">
        <v>1</v>
      </c>
      <c r="H32" s="16" t="s">
        <v>252</v>
      </c>
    </row>
    <row r="33" spans="2:8" ht="21" customHeight="1" x14ac:dyDescent="0.3">
      <c r="B33" s="2" t="s">
        <v>260</v>
      </c>
      <c r="C33" s="2" t="s">
        <v>235</v>
      </c>
      <c r="D33" s="20" t="s">
        <v>244</v>
      </c>
      <c r="E33" s="2">
        <v>2021</v>
      </c>
      <c r="F33" s="2">
        <v>1</v>
      </c>
      <c r="H33" s="16" t="s">
        <v>252</v>
      </c>
    </row>
    <row r="34" spans="2:8" ht="21" customHeight="1" x14ac:dyDescent="0.3">
      <c r="B34" s="2" t="s">
        <v>265</v>
      </c>
      <c r="C34" s="2" t="s">
        <v>235</v>
      </c>
      <c r="D34" s="20" t="s">
        <v>246</v>
      </c>
      <c r="E34" s="2">
        <v>2021</v>
      </c>
      <c r="F34" s="2">
        <v>1</v>
      </c>
      <c r="H34" s="16" t="s">
        <v>252</v>
      </c>
    </row>
    <row r="35" spans="2:8" ht="21" customHeight="1" x14ac:dyDescent="0.3">
      <c r="B35" s="2" t="s">
        <v>228</v>
      </c>
      <c r="C35" s="2" t="s">
        <v>238</v>
      </c>
      <c r="D35" s="20" t="s">
        <v>246</v>
      </c>
      <c r="E35" s="2">
        <v>2021</v>
      </c>
      <c r="F35" s="2">
        <v>1</v>
      </c>
      <c r="H35" s="16" t="s">
        <v>252</v>
      </c>
    </row>
    <row r="36" spans="2:8" ht="21" customHeight="1" x14ac:dyDescent="0.3">
      <c r="B36" s="2" t="s">
        <v>229</v>
      </c>
      <c r="C36" s="2" t="s">
        <v>232</v>
      </c>
      <c r="D36" s="20" t="s">
        <v>244</v>
      </c>
      <c r="E36" s="2">
        <v>2021</v>
      </c>
      <c r="F36" s="2">
        <v>1</v>
      </c>
      <c r="H36" s="16" t="s">
        <v>252</v>
      </c>
    </row>
    <row r="37" spans="2:8" ht="21" customHeight="1" x14ac:dyDescent="0.3">
      <c r="B37" s="2" t="s">
        <v>274</v>
      </c>
      <c r="C37" s="2" t="s">
        <v>232</v>
      </c>
      <c r="D37" s="20" t="s">
        <v>244</v>
      </c>
      <c r="E37" s="2">
        <v>2021</v>
      </c>
      <c r="F37" s="2">
        <v>1</v>
      </c>
      <c r="H37" s="16" t="s">
        <v>252</v>
      </c>
    </row>
    <row r="38" spans="2:8" ht="21" customHeight="1" x14ac:dyDescent="0.3">
      <c r="B38" s="2" t="s">
        <v>215</v>
      </c>
      <c r="C38" s="2" t="s">
        <v>232</v>
      </c>
      <c r="D38" s="20" t="s">
        <v>239</v>
      </c>
      <c r="E38" s="2">
        <v>2021</v>
      </c>
      <c r="F38" s="2">
        <v>1</v>
      </c>
      <c r="H38" s="16" t="s">
        <v>278</v>
      </c>
    </row>
    <row r="39" spans="2:8" ht="21" customHeight="1" x14ac:dyDescent="0.3">
      <c r="B39" s="2" t="s">
        <v>216</v>
      </c>
      <c r="C39" s="2" t="s">
        <v>233</v>
      </c>
      <c r="D39" s="20" t="s">
        <v>240</v>
      </c>
      <c r="E39" s="2">
        <v>2021</v>
      </c>
      <c r="F39" s="2">
        <v>1</v>
      </c>
      <c r="H39" s="16" t="s">
        <v>278</v>
      </c>
    </row>
    <row r="40" spans="2:8" ht="21" customHeight="1" x14ac:dyDescent="0.3">
      <c r="B40" s="2" t="s">
        <v>310</v>
      </c>
      <c r="C40" s="2" t="s">
        <v>232</v>
      </c>
      <c r="D40" s="20" t="s">
        <v>240</v>
      </c>
      <c r="E40" s="2">
        <v>2021</v>
      </c>
      <c r="F40" s="2">
        <v>1</v>
      </c>
      <c r="H40" s="16" t="s">
        <v>278</v>
      </c>
    </row>
    <row r="41" spans="2:8" ht="21" customHeight="1" x14ac:dyDescent="0.3">
      <c r="B41" s="2" t="s">
        <v>218</v>
      </c>
      <c r="C41" s="2" t="s">
        <v>234</v>
      </c>
      <c r="D41" s="20" t="s">
        <v>248</v>
      </c>
      <c r="E41" s="2">
        <v>2021</v>
      </c>
      <c r="F41" s="2">
        <v>1</v>
      </c>
      <c r="H41" s="16" t="s">
        <v>278</v>
      </c>
    </row>
    <row r="42" spans="2:8" ht="21" customHeight="1" x14ac:dyDescent="0.3">
      <c r="B42" s="2" t="s">
        <v>219</v>
      </c>
      <c r="C42" s="2" t="s">
        <v>233</v>
      </c>
      <c r="D42" s="20" t="s">
        <v>241</v>
      </c>
      <c r="E42" s="2">
        <v>2021</v>
      </c>
      <c r="F42" s="2">
        <v>1</v>
      </c>
      <c r="H42" s="16" t="s">
        <v>278</v>
      </c>
    </row>
    <row r="43" spans="2:8" ht="21" customHeight="1" x14ac:dyDescent="0.3">
      <c r="B43" s="2" t="s">
        <v>221</v>
      </c>
      <c r="C43" s="2" t="s">
        <v>234</v>
      </c>
      <c r="D43" s="20" t="s">
        <v>242</v>
      </c>
      <c r="E43" s="2">
        <v>2021</v>
      </c>
      <c r="F43" s="2">
        <v>1</v>
      </c>
      <c r="H43" s="16" t="s">
        <v>278</v>
      </c>
    </row>
    <row r="44" spans="2:8" ht="21" customHeight="1" x14ac:dyDescent="0.3">
      <c r="B44" s="2" t="s">
        <v>222</v>
      </c>
      <c r="C44" s="2" t="s">
        <v>235</v>
      </c>
      <c r="D44" s="20" t="s">
        <v>243</v>
      </c>
      <c r="E44" s="2">
        <v>2021</v>
      </c>
      <c r="F44" s="2">
        <v>1</v>
      </c>
      <c r="H44" s="16" t="s">
        <v>278</v>
      </c>
    </row>
    <row r="45" spans="2:8" ht="21" customHeight="1" x14ac:dyDescent="0.3">
      <c r="B45" s="2" t="s">
        <v>223</v>
      </c>
      <c r="C45" s="2" t="s">
        <v>236</v>
      </c>
      <c r="D45" s="20" t="s">
        <v>243</v>
      </c>
      <c r="E45" s="2">
        <v>2021</v>
      </c>
      <c r="F45" s="2">
        <v>1</v>
      </c>
      <c r="H45" s="16" t="s">
        <v>278</v>
      </c>
    </row>
    <row r="46" spans="2:8" ht="21" customHeight="1" x14ac:dyDescent="0.3">
      <c r="B46" s="2" t="s">
        <v>224</v>
      </c>
      <c r="C46" s="2" t="s">
        <v>232</v>
      </c>
      <c r="D46" s="20" t="s">
        <v>241</v>
      </c>
      <c r="E46" s="2">
        <v>2021</v>
      </c>
      <c r="F46" s="2">
        <v>1</v>
      </c>
      <c r="H46" s="16" t="s">
        <v>278</v>
      </c>
    </row>
    <row r="47" spans="2:8" ht="21" customHeight="1" x14ac:dyDescent="0.3">
      <c r="B47" s="2" t="s">
        <v>225</v>
      </c>
      <c r="C47" s="2" t="s">
        <v>237</v>
      </c>
      <c r="D47" s="20" t="s">
        <v>245</v>
      </c>
      <c r="E47" s="2">
        <v>2021</v>
      </c>
      <c r="F47" s="2">
        <v>1</v>
      </c>
      <c r="H47" s="16" t="s">
        <v>278</v>
      </c>
    </row>
    <row r="48" spans="2:8" ht="21" customHeight="1" x14ac:dyDescent="0.3">
      <c r="B48" s="2" t="s">
        <v>228</v>
      </c>
      <c r="C48" s="2" t="s">
        <v>238</v>
      </c>
      <c r="D48" s="20" t="s">
        <v>246</v>
      </c>
      <c r="E48" s="2">
        <v>2021</v>
      </c>
      <c r="F48" s="2">
        <v>1</v>
      </c>
      <c r="H48" s="16" t="s">
        <v>278</v>
      </c>
    </row>
    <row r="49" spans="2:8" ht="21" customHeight="1" x14ac:dyDescent="0.3">
      <c r="B49" s="2" t="s">
        <v>229</v>
      </c>
      <c r="C49" s="2" t="s">
        <v>232</v>
      </c>
      <c r="D49" s="20" t="s">
        <v>244</v>
      </c>
      <c r="E49" s="2">
        <v>2021</v>
      </c>
      <c r="F49" s="2">
        <v>1</v>
      </c>
      <c r="H49" s="16" t="s">
        <v>278</v>
      </c>
    </row>
    <row r="50" spans="2:8" ht="21" customHeight="1" x14ac:dyDescent="0.3">
      <c r="B50" s="2" t="s">
        <v>230</v>
      </c>
      <c r="C50" s="2" t="s">
        <v>234</v>
      </c>
      <c r="D50" s="20" t="s">
        <v>247</v>
      </c>
      <c r="E50" s="2">
        <v>2021</v>
      </c>
      <c r="F50" s="2">
        <v>1</v>
      </c>
      <c r="H50" s="16" t="s">
        <v>278</v>
      </c>
    </row>
    <row r="51" spans="2:8" ht="21" customHeight="1" x14ac:dyDescent="0.3">
      <c r="B51" s="2" t="s">
        <v>231</v>
      </c>
      <c r="C51" s="2" t="s">
        <v>235</v>
      </c>
      <c r="D51" s="20" t="s">
        <v>246</v>
      </c>
      <c r="E51" s="2">
        <v>2021</v>
      </c>
      <c r="F51" s="2">
        <v>1</v>
      </c>
      <c r="H51" s="16" t="s">
        <v>278</v>
      </c>
    </row>
    <row r="52" spans="2:8" ht="21" customHeight="1" x14ac:dyDescent="0.3">
      <c r="B52" s="2" t="s">
        <v>260</v>
      </c>
      <c r="C52" s="2" t="s">
        <v>235</v>
      </c>
      <c r="D52" s="20" t="s">
        <v>244</v>
      </c>
      <c r="E52" s="2">
        <v>2021</v>
      </c>
      <c r="F52" s="2">
        <v>1</v>
      </c>
      <c r="H52" s="16" t="s">
        <v>278</v>
      </c>
    </row>
    <row r="53" spans="2:8" ht="21" customHeight="1" x14ac:dyDescent="0.3">
      <c r="B53" s="2" t="s">
        <v>265</v>
      </c>
      <c r="C53" s="2" t="s">
        <v>235</v>
      </c>
      <c r="D53" s="20" t="s">
        <v>246</v>
      </c>
      <c r="E53" s="2">
        <v>2021</v>
      </c>
      <c r="F53" s="2">
        <v>1</v>
      </c>
      <c r="H53" s="16" t="s">
        <v>278</v>
      </c>
    </row>
    <row r="54" spans="2:8" ht="21" customHeight="1" x14ac:dyDescent="0.3">
      <c r="B54" s="2" t="s">
        <v>275</v>
      </c>
      <c r="C54" s="2" t="s">
        <v>235</v>
      </c>
      <c r="D54" s="20" t="s">
        <v>246</v>
      </c>
      <c r="E54" s="2">
        <v>2021</v>
      </c>
      <c r="F54" s="2">
        <v>1</v>
      </c>
      <c r="H54" s="16" t="s">
        <v>278</v>
      </c>
    </row>
    <row r="55" spans="2:8" ht="21" customHeight="1" x14ac:dyDescent="0.3">
      <c r="B55" s="2" t="s">
        <v>276</v>
      </c>
      <c r="C55" s="2" t="s">
        <v>235</v>
      </c>
      <c r="D55" s="20" t="s">
        <v>243</v>
      </c>
      <c r="E55" s="2">
        <v>2021</v>
      </c>
      <c r="F55" s="2">
        <v>1</v>
      </c>
      <c r="H55" s="16" t="s">
        <v>278</v>
      </c>
    </row>
    <row r="56" spans="2:8" ht="21" customHeight="1" x14ac:dyDescent="0.3">
      <c r="B56" s="2" t="s">
        <v>267</v>
      </c>
      <c r="C56" s="2" t="s">
        <v>232</v>
      </c>
      <c r="D56" s="20" t="s">
        <v>241</v>
      </c>
      <c r="E56" s="2">
        <v>2021</v>
      </c>
      <c r="F56" s="2">
        <v>1</v>
      </c>
      <c r="H56" s="16" t="s">
        <v>278</v>
      </c>
    </row>
    <row r="57" spans="2:8" ht="21" customHeight="1" x14ac:dyDescent="0.3">
      <c r="B57" s="2" t="s">
        <v>277</v>
      </c>
      <c r="C57" s="2" t="s">
        <v>232</v>
      </c>
      <c r="D57" s="20" t="s">
        <v>246</v>
      </c>
      <c r="E57" s="2">
        <v>2021</v>
      </c>
      <c r="F57" s="2">
        <v>1</v>
      </c>
      <c r="H57" s="16" t="s">
        <v>278</v>
      </c>
    </row>
    <row r="58" spans="2:8" ht="21" customHeight="1" x14ac:dyDescent="0.3">
      <c r="B58" s="2" t="s">
        <v>291</v>
      </c>
      <c r="C58" s="2" t="s">
        <v>232</v>
      </c>
      <c r="D58" s="20" t="s">
        <v>241</v>
      </c>
      <c r="E58" s="2">
        <v>2022</v>
      </c>
      <c r="G58" s="2">
        <v>1</v>
      </c>
      <c r="H58" s="16" t="s">
        <v>295</v>
      </c>
    </row>
    <row r="59" spans="2:8" ht="21" customHeight="1" x14ac:dyDescent="0.3">
      <c r="B59" s="2" t="s">
        <v>310</v>
      </c>
      <c r="C59" s="2" t="s">
        <v>232</v>
      </c>
      <c r="D59" s="20" t="s">
        <v>240</v>
      </c>
      <c r="E59" s="2">
        <v>2022</v>
      </c>
      <c r="G59" s="2">
        <v>2</v>
      </c>
      <c r="H59" s="16" t="s">
        <v>300</v>
      </c>
    </row>
    <row r="60" spans="2:8" ht="21" customHeight="1" x14ac:dyDescent="0.3">
      <c r="B60" s="2" t="s">
        <v>229</v>
      </c>
      <c r="C60" s="2" t="s">
        <v>232</v>
      </c>
      <c r="D60" s="20" t="s">
        <v>244</v>
      </c>
      <c r="E60" s="2">
        <v>2022</v>
      </c>
      <c r="G60" s="2">
        <v>2</v>
      </c>
      <c r="H60" s="16" t="s">
        <v>301</v>
      </c>
    </row>
    <row r="61" spans="2:8" ht="21" customHeight="1" x14ac:dyDescent="0.3">
      <c r="B61" s="2" t="s">
        <v>228</v>
      </c>
      <c r="C61" s="2" t="s">
        <v>233</v>
      </c>
      <c r="D61" s="20" t="s">
        <v>246</v>
      </c>
      <c r="E61" s="2">
        <v>2022</v>
      </c>
      <c r="F61" s="2">
        <v>0.5</v>
      </c>
      <c r="H61" s="16" t="s">
        <v>302</v>
      </c>
    </row>
    <row r="62" spans="2:8" ht="21" customHeight="1" x14ac:dyDescent="0.3">
      <c r="B62" s="2" t="s">
        <v>265</v>
      </c>
      <c r="C62" s="2" t="s">
        <v>235</v>
      </c>
      <c r="D62" s="20" t="s">
        <v>246</v>
      </c>
      <c r="E62" s="2">
        <v>2022</v>
      </c>
      <c r="F62" s="2">
        <v>0.5</v>
      </c>
      <c r="H62" s="16" t="s">
        <v>302</v>
      </c>
    </row>
    <row r="63" spans="2:8" ht="21" customHeight="1" x14ac:dyDescent="0.3">
      <c r="B63" s="2" t="s">
        <v>275</v>
      </c>
      <c r="C63" s="2" t="s">
        <v>235</v>
      </c>
      <c r="D63" s="20" t="s">
        <v>246</v>
      </c>
      <c r="E63" s="2">
        <v>2022</v>
      </c>
      <c r="F63" s="2">
        <v>1</v>
      </c>
      <c r="H63" s="16" t="s">
        <v>302</v>
      </c>
    </row>
    <row r="64" spans="2:8" ht="21" customHeight="1" x14ac:dyDescent="0.3">
      <c r="B64" s="2" t="s">
        <v>276</v>
      </c>
      <c r="C64" s="2" t="s">
        <v>235</v>
      </c>
      <c r="D64" s="20" t="s">
        <v>243</v>
      </c>
      <c r="E64" s="2">
        <v>2022</v>
      </c>
      <c r="F64" s="2">
        <v>1</v>
      </c>
      <c r="H64" s="16" t="s">
        <v>302</v>
      </c>
    </row>
    <row r="65" spans="2:8" ht="21" customHeight="1" x14ac:dyDescent="0.3">
      <c r="B65" s="2" t="s">
        <v>289</v>
      </c>
      <c r="C65" s="2" t="s">
        <v>233</v>
      </c>
      <c r="D65" s="20" t="s">
        <v>246</v>
      </c>
      <c r="E65" s="2">
        <v>2022</v>
      </c>
      <c r="F65" s="2">
        <v>1</v>
      </c>
      <c r="H65" s="16" t="s">
        <v>307</v>
      </c>
    </row>
    <row r="66" spans="2:8" ht="21" customHeight="1" x14ac:dyDescent="0.3">
      <c r="B66" s="2" t="s">
        <v>265</v>
      </c>
      <c r="C66" s="2" t="s">
        <v>235</v>
      </c>
      <c r="D66" s="20" t="s">
        <v>246</v>
      </c>
      <c r="E66" s="2">
        <v>2022</v>
      </c>
      <c r="F66" s="2">
        <v>1</v>
      </c>
      <c r="H66" s="16" t="s">
        <v>312</v>
      </c>
    </row>
    <row r="67" spans="2:8" ht="21" customHeight="1" x14ac:dyDescent="0.3">
      <c r="B67" s="2" t="s">
        <v>291</v>
      </c>
      <c r="C67" s="2" t="s">
        <v>232</v>
      </c>
      <c r="D67" s="20" t="s">
        <v>241</v>
      </c>
      <c r="E67" s="2">
        <v>2022</v>
      </c>
      <c r="F67" s="2">
        <v>1</v>
      </c>
      <c r="H67" s="16" t="s">
        <v>315</v>
      </c>
    </row>
    <row r="68" spans="2:8" ht="21" customHeight="1" x14ac:dyDescent="0.3">
      <c r="B68" s="2" t="s">
        <v>260</v>
      </c>
      <c r="C68" s="2" t="s">
        <v>235</v>
      </c>
      <c r="D68" s="20" t="s">
        <v>244</v>
      </c>
      <c r="E68" s="2">
        <v>2022</v>
      </c>
      <c r="F68" s="2">
        <v>0.5</v>
      </c>
      <c r="H68" s="16" t="s">
        <v>321</v>
      </c>
    </row>
    <row r="69" spans="2:8" ht="21" customHeight="1" x14ac:dyDescent="0.3">
      <c r="B69" s="2" t="s">
        <v>291</v>
      </c>
      <c r="C69" s="2" t="s">
        <v>232</v>
      </c>
      <c r="D69" s="20" t="s">
        <v>241</v>
      </c>
      <c r="E69" s="2">
        <v>2022</v>
      </c>
      <c r="G69" s="2">
        <v>3</v>
      </c>
      <c r="H69" s="16" t="s">
        <v>322</v>
      </c>
    </row>
    <row r="70" spans="2:8" ht="21" customHeight="1" x14ac:dyDescent="0.3">
      <c r="B70" s="2" t="s">
        <v>276</v>
      </c>
      <c r="C70" s="2" t="s">
        <v>235</v>
      </c>
      <c r="D70" s="20" t="s">
        <v>243</v>
      </c>
      <c r="E70" s="2">
        <v>2023</v>
      </c>
      <c r="G70" s="2">
        <v>5.5</v>
      </c>
      <c r="H70" s="16" t="s">
        <v>323</v>
      </c>
    </row>
    <row r="71" spans="2:8" ht="21" customHeight="1" x14ac:dyDescent="0.3">
      <c r="B71" s="2" t="s">
        <v>267</v>
      </c>
      <c r="C71" s="2" t="s">
        <v>232</v>
      </c>
      <c r="D71" s="20" t="s">
        <v>241</v>
      </c>
      <c r="E71" s="2">
        <v>2023</v>
      </c>
      <c r="G71" s="2">
        <v>2</v>
      </c>
      <c r="H71" s="16" t="s">
        <v>324</v>
      </c>
    </row>
    <row r="72" spans="2:8" ht="21" customHeight="1" x14ac:dyDescent="0.3">
      <c r="B72" s="2" t="s">
        <v>277</v>
      </c>
      <c r="C72" s="2" t="s">
        <v>232</v>
      </c>
      <c r="D72" s="20" t="s">
        <v>246</v>
      </c>
      <c r="E72" s="2">
        <v>2023</v>
      </c>
      <c r="G72" s="2">
        <v>3.5</v>
      </c>
      <c r="H72" s="16" t="s">
        <v>324</v>
      </c>
    </row>
    <row r="73" spans="2:8" ht="21" customHeight="1" x14ac:dyDescent="0.3">
      <c r="B73" s="2" t="s">
        <v>277</v>
      </c>
      <c r="C73" s="2" t="s">
        <v>232</v>
      </c>
      <c r="D73" s="20" t="s">
        <v>246</v>
      </c>
      <c r="E73" s="2">
        <v>2023</v>
      </c>
      <c r="F73" s="2">
        <v>0.5</v>
      </c>
      <c r="H73" s="16" t="s">
        <v>86</v>
      </c>
    </row>
    <row r="74" spans="2:8" ht="21" customHeight="1" x14ac:dyDescent="0.3">
      <c r="B74" s="2" t="s">
        <v>291</v>
      </c>
      <c r="C74" s="2" t="s">
        <v>232</v>
      </c>
      <c r="D74" s="20" t="s">
        <v>241</v>
      </c>
      <c r="E74" s="2">
        <v>2023</v>
      </c>
      <c r="F74" s="2">
        <v>5</v>
      </c>
      <c r="H74" s="16" t="s">
        <v>341</v>
      </c>
    </row>
    <row r="75" spans="2:8" ht="21" customHeight="1" x14ac:dyDescent="0.3">
      <c r="B75" s="2" t="s">
        <v>229</v>
      </c>
      <c r="C75" s="2" t="s">
        <v>232</v>
      </c>
      <c r="D75" s="20" t="s">
        <v>244</v>
      </c>
      <c r="E75" s="2">
        <v>2023</v>
      </c>
      <c r="F75" s="2">
        <v>2</v>
      </c>
      <c r="H75" s="16" t="s">
        <v>345</v>
      </c>
    </row>
    <row r="76" spans="2:8" ht="21" customHeight="1" x14ac:dyDescent="0.3">
      <c r="B76" s="2" t="s">
        <v>353</v>
      </c>
      <c r="C76" s="2" t="s">
        <v>233</v>
      </c>
      <c r="D76" s="20" t="s">
        <v>246</v>
      </c>
      <c r="E76" s="2">
        <v>2024</v>
      </c>
      <c r="F76" s="2">
        <v>3</v>
      </c>
      <c r="H76" s="16" t="s">
        <v>86</v>
      </c>
    </row>
    <row r="77" spans="2:8" ht="21" customHeight="1" x14ac:dyDescent="0.3">
      <c r="B77" s="2" t="s">
        <v>336</v>
      </c>
      <c r="C77" s="2" t="s">
        <v>235</v>
      </c>
      <c r="D77" s="20" t="s">
        <v>246</v>
      </c>
      <c r="E77" s="2">
        <v>2024</v>
      </c>
      <c r="F77" s="2">
        <v>1</v>
      </c>
      <c r="H77" s="16" t="s">
        <v>356</v>
      </c>
    </row>
    <row r="78" spans="2:8" ht="21" customHeight="1" x14ac:dyDescent="0.3">
      <c r="B78" s="2" t="s">
        <v>229</v>
      </c>
      <c r="C78" s="2" t="s">
        <v>232</v>
      </c>
      <c r="D78" s="20" t="s">
        <v>244</v>
      </c>
      <c r="E78" s="2">
        <v>2024</v>
      </c>
      <c r="F78" s="2">
        <v>5</v>
      </c>
      <c r="H78" s="16" t="s">
        <v>360</v>
      </c>
    </row>
    <row r="79" spans="2:8" ht="21" customHeight="1" x14ac:dyDescent="0.3">
      <c r="B79" s="2" t="s">
        <v>352</v>
      </c>
      <c r="C79" s="2" t="s">
        <v>233</v>
      </c>
      <c r="D79" s="20" t="s">
        <v>246</v>
      </c>
      <c r="E79" s="2">
        <v>2024</v>
      </c>
      <c r="F79" s="2">
        <v>3</v>
      </c>
      <c r="H79" s="16" t="s">
        <v>86</v>
      </c>
    </row>
    <row r="80" spans="2:8" ht="21" customHeight="1" x14ac:dyDescent="0.3">
      <c r="B80" s="2" t="s">
        <v>358</v>
      </c>
      <c r="C80" s="2" t="s">
        <v>232</v>
      </c>
      <c r="D80" s="20" t="s">
        <v>244</v>
      </c>
      <c r="E80" s="2">
        <v>2024</v>
      </c>
      <c r="F80" s="2">
        <v>5</v>
      </c>
      <c r="H80" s="16" t="s">
        <v>361</v>
      </c>
    </row>
    <row r="81" spans="2:8" ht="21" customHeight="1" x14ac:dyDescent="0.3">
      <c r="B81" s="2" t="s">
        <v>229</v>
      </c>
      <c r="C81" s="2" t="s">
        <v>232</v>
      </c>
      <c r="D81" s="20" t="s">
        <v>244</v>
      </c>
      <c r="E81" s="2">
        <v>2024</v>
      </c>
      <c r="G81" s="2">
        <v>1</v>
      </c>
      <c r="H81" s="16" t="s">
        <v>371</v>
      </c>
    </row>
    <row r="82" spans="2:8" ht="21" customHeight="1" x14ac:dyDescent="0.3">
      <c r="B82" s="2" t="s">
        <v>351</v>
      </c>
      <c r="C82" s="2" t="s">
        <v>233</v>
      </c>
      <c r="D82" s="20" t="s">
        <v>246</v>
      </c>
      <c r="E82" s="2">
        <v>2024</v>
      </c>
      <c r="F82" s="2">
        <v>1</v>
      </c>
      <c r="H82" s="16" t="s">
        <v>370</v>
      </c>
    </row>
    <row r="83" spans="2:8" ht="21" customHeight="1" x14ac:dyDescent="0.3">
      <c r="B83" s="2" t="s">
        <v>353</v>
      </c>
      <c r="C83" s="2" t="s">
        <v>233</v>
      </c>
      <c r="D83" s="20" t="s">
        <v>246</v>
      </c>
      <c r="E83" s="2">
        <v>2025</v>
      </c>
      <c r="F83" s="2">
        <v>3</v>
      </c>
      <c r="H83" s="16" t="s">
        <v>86</v>
      </c>
    </row>
    <row r="84" spans="2:8" ht="21" customHeight="1" x14ac:dyDescent="0.3">
      <c r="B84" s="2" t="s">
        <v>352</v>
      </c>
      <c r="C84" s="2" t="s">
        <v>233</v>
      </c>
      <c r="D84" s="20" t="s">
        <v>246</v>
      </c>
      <c r="E84" s="2">
        <v>2025</v>
      </c>
      <c r="F84" s="2">
        <v>3</v>
      </c>
      <c r="H84" s="16" t="s">
        <v>86</v>
      </c>
    </row>
    <row r="85" spans="2:8" ht="21" customHeight="1" x14ac:dyDescent="0.3">
      <c r="B85" s="2" t="s">
        <v>228</v>
      </c>
      <c r="C85" s="2" t="s">
        <v>233</v>
      </c>
      <c r="D85" s="20" t="s">
        <v>246</v>
      </c>
      <c r="E85" s="2">
        <v>2025</v>
      </c>
      <c r="F85" s="2">
        <v>1.5</v>
      </c>
      <c r="H85" s="16" t="s">
        <v>393</v>
      </c>
    </row>
    <row r="86" spans="2:8" ht="21" customHeight="1" x14ac:dyDescent="0.3">
      <c r="D86" s="20"/>
    </row>
    <row r="87" spans="2:8" ht="21" customHeight="1" x14ac:dyDescent="0.3">
      <c r="D87" s="20"/>
    </row>
    <row r="88" spans="2:8" ht="21" customHeight="1" x14ac:dyDescent="0.3">
      <c r="D88" s="20"/>
    </row>
    <row r="89" spans="2:8" ht="21" customHeight="1" x14ac:dyDescent="0.3">
      <c r="D89" s="20"/>
    </row>
    <row r="90" spans="2:8" ht="21" customHeight="1" x14ac:dyDescent="0.3">
      <c r="D90" s="20"/>
    </row>
    <row r="91" spans="2:8" ht="21" customHeight="1" x14ac:dyDescent="0.3">
      <c r="D91" s="20"/>
    </row>
    <row r="92" spans="2:8" ht="21" customHeight="1" x14ac:dyDescent="0.3">
      <c r="D92" s="20"/>
    </row>
    <row r="93" spans="2:8" ht="21" customHeight="1" x14ac:dyDescent="0.3">
      <c r="D93" s="20"/>
    </row>
    <row r="94" spans="2:8" ht="21" customHeight="1" x14ac:dyDescent="0.3">
      <c r="D94" s="20"/>
    </row>
    <row r="95" spans="2:8" ht="21" customHeight="1" x14ac:dyDescent="0.3">
      <c r="D95" s="20"/>
    </row>
    <row r="96" spans="2:8" ht="21" customHeight="1" x14ac:dyDescent="0.3">
      <c r="D96" s="20"/>
    </row>
    <row r="97" spans="4:4" ht="21" customHeight="1" x14ac:dyDescent="0.3">
      <c r="D97" s="20"/>
    </row>
    <row r="98" spans="4:4" ht="21" customHeight="1" x14ac:dyDescent="0.3">
      <c r="D98" s="20"/>
    </row>
    <row r="99" spans="4:4" ht="21" customHeight="1" x14ac:dyDescent="0.3">
      <c r="D99" s="20"/>
    </row>
    <row r="100" spans="4:4" ht="21" customHeight="1" x14ac:dyDescent="0.3">
      <c r="D100" s="20"/>
    </row>
    <row r="101" spans="4:4" ht="21" customHeight="1" x14ac:dyDescent="0.3">
      <c r="D101" s="20"/>
    </row>
    <row r="102" spans="4:4" ht="21" customHeight="1" x14ac:dyDescent="0.3">
      <c r="D102" s="20"/>
    </row>
    <row r="103" spans="4:4" ht="21" customHeight="1" x14ac:dyDescent="0.3">
      <c r="D103" s="20"/>
    </row>
    <row r="104" spans="4:4" ht="21" customHeight="1" x14ac:dyDescent="0.3">
      <c r="D104" s="20"/>
    </row>
    <row r="105" spans="4:4" ht="21" customHeight="1" x14ac:dyDescent="0.3">
      <c r="D105" s="20"/>
    </row>
    <row r="106" spans="4:4" ht="21" customHeight="1" x14ac:dyDescent="0.3">
      <c r="D106" s="20"/>
    </row>
    <row r="107" spans="4:4" ht="21" customHeight="1" x14ac:dyDescent="0.3">
      <c r="D107" s="20"/>
    </row>
    <row r="108" spans="4:4" ht="21" customHeight="1" x14ac:dyDescent="0.3">
      <c r="D108" s="20"/>
    </row>
    <row r="109" spans="4:4" ht="21" customHeight="1" x14ac:dyDescent="0.3">
      <c r="D109" s="20"/>
    </row>
    <row r="110" spans="4:4" ht="21" customHeight="1" x14ac:dyDescent="0.3">
      <c r="D110" s="20"/>
    </row>
    <row r="111" spans="4:4" ht="21" customHeight="1" x14ac:dyDescent="0.3">
      <c r="D111" s="20"/>
    </row>
    <row r="112" spans="4:4" ht="21" customHeight="1" x14ac:dyDescent="0.3">
      <c r="D112" s="20"/>
    </row>
    <row r="113" spans="4:4" ht="21" customHeight="1" x14ac:dyDescent="0.3">
      <c r="D113" s="20"/>
    </row>
    <row r="114" spans="4:4" ht="21" customHeight="1" x14ac:dyDescent="0.3">
      <c r="D114" s="20"/>
    </row>
    <row r="115" spans="4:4" ht="21" customHeight="1" x14ac:dyDescent="0.3">
      <c r="D115" s="20"/>
    </row>
    <row r="116" spans="4:4" ht="21" customHeight="1" x14ac:dyDescent="0.3">
      <c r="D116" s="20"/>
    </row>
    <row r="117" spans="4:4" ht="21" customHeight="1" x14ac:dyDescent="0.3">
      <c r="D117" s="20"/>
    </row>
    <row r="118" spans="4:4" ht="21" customHeight="1" x14ac:dyDescent="0.3">
      <c r="D118" s="20"/>
    </row>
    <row r="119" spans="4:4" ht="21" customHeight="1" x14ac:dyDescent="0.3">
      <c r="D119" s="20"/>
    </row>
    <row r="120" spans="4:4" ht="21" customHeight="1" x14ac:dyDescent="0.3">
      <c r="D120" s="20"/>
    </row>
    <row r="121" spans="4:4" ht="21" customHeight="1" x14ac:dyDescent="0.3">
      <c r="D121" s="20"/>
    </row>
    <row r="122" spans="4:4" ht="21" customHeight="1" x14ac:dyDescent="0.3">
      <c r="D122" s="20"/>
    </row>
    <row r="123" spans="4:4" ht="21" customHeight="1" x14ac:dyDescent="0.3">
      <c r="D123" s="20"/>
    </row>
    <row r="124" spans="4:4" ht="21" customHeight="1" x14ac:dyDescent="0.3">
      <c r="D124" s="20"/>
    </row>
    <row r="125" spans="4:4" ht="21" customHeight="1" x14ac:dyDescent="0.3">
      <c r="D125" s="20"/>
    </row>
    <row r="126" spans="4:4" ht="21" customHeight="1" x14ac:dyDescent="0.3">
      <c r="D126" s="20"/>
    </row>
    <row r="127" spans="4:4" ht="21" customHeight="1" x14ac:dyDescent="0.3">
      <c r="D127" s="20"/>
    </row>
    <row r="128" spans="4:4" ht="21" customHeight="1" x14ac:dyDescent="0.3">
      <c r="D128" s="20"/>
    </row>
    <row r="129" spans="4:4" ht="21" customHeight="1" x14ac:dyDescent="0.3">
      <c r="D129" s="20"/>
    </row>
    <row r="130" spans="4:4" ht="21" customHeight="1" x14ac:dyDescent="0.3">
      <c r="D130" s="20"/>
    </row>
    <row r="131" spans="4:4" ht="21" customHeight="1" x14ac:dyDescent="0.3">
      <c r="D131" s="20"/>
    </row>
    <row r="132" spans="4:4" ht="21" customHeight="1" x14ac:dyDescent="0.3">
      <c r="D132" s="20"/>
    </row>
    <row r="133" spans="4:4" ht="21" customHeight="1" x14ac:dyDescent="0.3">
      <c r="D133" s="20"/>
    </row>
    <row r="134" spans="4:4" ht="21" customHeight="1" x14ac:dyDescent="0.3">
      <c r="D134" s="20"/>
    </row>
    <row r="135" spans="4:4" ht="21" customHeight="1" x14ac:dyDescent="0.3">
      <c r="D135" s="20"/>
    </row>
    <row r="136" spans="4:4" ht="21" customHeight="1" x14ac:dyDescent="0.3">
      <c r="D136" s="20"/>
    </row>
    <row r="137" spans="4:4" ht="21" customHeight="1" x14ac:dyDescent="0.3">
      <c r="D137" s="20"/>
    </row>
    <row r="138" spans="4:4" ht="21" customHeight="1" x14ac:dyDescent="0.3">
      <c r="D138" s="20"/>
    </row>
    <row r="139" spans="4:4" ht="21" customHeight="1" x14ac:dyDescent="0.3">
      <c r="D139" s="20"/>
    </row>
    <row r="140" spans="4:4" ht="21" customHeight="1" x14ac:dyDescent="0.3">
      <c r="D140" s="20"/>
    </row>
    <row r="141" spans="4:4" ht="21" customHeight="1" x14ac:dyDescent="0.3">
      <c r="D141" s="20"/>
    </row>
    <row r="142" spans="4:4" ht="21" customHeight="1" x14ac:dyDescent="0.3">
      <c r="D142" s="20"/>
    </row>
    <row r="143" spans="4:4" ht="21" customHeight="1" x14ac:dyDescent="0.3">
      <c r="D143" s="20"/>
    </row>
    <row r="144" spans="4:4" ht="21" customHeight="1" x14ac:dyDescent="0.3">
      <c r="D144" s="20"/>
    </row>
    <row r="145" spans="4:4" ht="21" customHeight="1" x14ac:dyDescent="0.3">
      <c r="D145" s="20"/>
    </row>
    <row r="146" spans="4:4" ht="21" customHeight="1" x14ac:dyDescent="0.3">
      <c r="D146" s="20"/>
    </row>
    <row r="147" spans="4:4" ht="21" customHeight="1" x14ac:dyDescent="0.3">
      <c r="D147" s="20"/>
    </row>
    <row r="148" spans="4:4" ht="21" customHeight="1" x14ac:dyDescent="0.3">
      <c r="D148" s="20"/>
    </row>
    <row r="149" spans="4:4" ht="21" customHeight="1" x14ac:dyDescent="0.3">
      <c r="D149" s="20"/>
    </row>
    <row r="150" spans="4:4" ht="21" customHeight="1" x14ac:dyDescent="0.3">
      <c r="D150" s="20"/>
    </row>
    <row r="151" spans="4:4" ht="21" customHeight="1" x14ac:dyDescent="0.3">
      <c r="D151" s="20"/>
    </row>
    <row r="152" spans="4:4" ht="21" customHeight="1" x14ac:dyDescent="0.3">
      <c r="D152" s="20"/>
    </row>
    <row r="153" spans="4:4" ht="21" customHeight="1" x14ac:dyDescent="0.3">
      <c r="D153" s="20"/>
    </row>
    <row r="154" spans="4:4" ht="21" customHeight="1" x14ac:dyDescent="0.3">
      <c r="D154" s="20"/>
    </row>
    <row r="155" spans="4:4" ht="21" customHeight="1" x14ac:dyDescent="0.3">
      <c r="D155" s="20"/>
    </row>
    <row r="156" spans="4:4" ht="21" customHeight="1" x14ac:dyDescent="0.3">
      <c r="D156" s="20"/>
    </row>
    <row r="157" spans="4:4" ht="21" customHeight="1" x14ac:dyDescent="0.3">
      <c r="D157" s="20"/>
    </row>
    <row r="158" spans="4:4" ht="21" customHeight="1" x14ac:dyDescent="0.3">
      <c r="D158" s="20"/>
    </row>
    <row r="159" spans="4:4" ht="21" customHeight="1" x14ac:dyDescent="0.3">
      <c r="D159" s="20"/>
    </row>
    <row r="160" spans="4:4" ht="21" customHeight="1" x14ac:dyDescent="0.3">
      <c r="D160" s="20"/>
    </row>
    <row r="161" spans="4:4" ht="21" customHeight="1" x14ac:dyDescent="0.3">
      <c r="D161" s="20"/>
    </row>
    <row r="162" spans="4:4" ht="21" customHeight="1" x14ac:dyDescent="0.3">
      <c r="D162" s="20"/>
    </row>
    <row r="163" spans="4:4" ht="21" customHeight="1" x14ac:dyDescent="0.3">
      <c r="D163" s="20"/>
    </row>
    <row r="164" spans="4:4" ht="21" customHeight="1" x14ac:dyDescent="0.3">
      <c r="D164" s="20"/>
    </row>
    <row r="165" spans="4:4" ht="21" customHeight="1" x14ac:dyDescent="0.3">
      <c r="D165" s="20"/>
    </row>
    <row r="166" spans="4:4" ht="21" customHeight="1" x14ac:dyDescent="0.3">
      <c r="D166" s="20"/>
    </row>
    <row r="167" spans="4:4" ht="21" customHeight="1" x14ac:dyDescent="0.3">
      <c r="D167" s="20"/>
    </row>
    <row r="168" spans="4:4" ht="21" customHeight="1" x14ac:dyDescent="0.3">
      <c r="D168" s="20"/>
    </row>
    <row r="169" spans="4:4" ht="21" customHeight="1" x14ac:dyDescent="0.3">
      <c r="D169" s="20"/>
    </row>
    <row r="170" spans="4:4" ht="21" customHeight="1" x14ac:dyDescent="0.3">
      <c r="D170" s="20"/>
    </row>
    <row r="171" spans="4:4" ht="21" customHeight="1" x14ac:dyDescent="0.3">
      <c r="D171" s="20"/>
    </row>
    <row r="172" spans="4:4" ht="21" customHeight="1" x14ac:dyDescent="0.3">
      <c r="D172" s="20"/>
    </row>
    <row r="173" spans="4:4" ht="21" customHeight="1" x14ac:dyDescent="0.3">
      <c r="D173" s="20"/>
    </row>
    <row r="174" spans="4:4" ht="21" customHeight="1" x14ac:dyDescent="0.3">
      <c r="D174" s="20"/>
    </row>
    <row r="175" spans="4:4" ht="21" customHeight="1" x14ac:dyDescent="0.3">
      <c r="D175" s="20"/>
    </row>
    <row r="176" spans="4:4" ht="21" customHeight="1" x14ac:dyDescent="0.3">
      <c r="D176" s="20"/>
    </row>
    <row r="177" spans="4:4" ht="21" customHeight="1" x14ac:dyDescent="0.3">
      <c r="D177" s="20"/>
    </row>
    <row r="178" spans="4:4" ht="21" customHeight="1" x14ac:dyDescent="0.3">
      <c r="D178" s="20"/>
    </row>
    <row r="179" spans="4:4" ht="21" customHeight="1" x14ac:dyDescent="0.3">
      <c r="D179" s="20"/>
    </row>
  </sheetData>
  <sortState xmlns:xlrd2="http://schemas.microsoft.com/office/spreadsheetml/2017/richdata2" ref="B3:H15">
    <sortCondition ref="E2"/>
  </sortState>
  <phoneticPr fontId="2" type="noConversion"/>
  <dataValidations count="1">
    <dataValidation type="list" allowBlank="1" showInputMessage="1" showErrorMessage="1" sqref="E3:E179" xr:uid="{0AF2092C-5EC9-435A-80E4-28387D70016E}">
      <formula1>List_Y</formula1>
    </dataValidation>
  </dataValidations>
  <printOptions horizontalCentered="1"/>
  <pageMargins left="0.39370078740157483" right="0.39370078740157483" top="0.59055118110236227" bottom="0.39370078740157483" header="0" footer="0"/>
  <pageSetup paperSize="9" scale="97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A347D-D2B7-4752-8431-E5D45904FFEC}">
  <sheetPr codeName="Sheet3">
    <pageSetUpPr autoPageBreaks="0"/>
  </sheetPr>
  <dimension ref="B1:K1344"/>
  <sheetViews>
    <sheetView showGridLines="0" showZeros="0" topLeftCell="A1071" zoomScaleNormal="100" workbookViewId="0">
      <selection activeCell="B1099" sqref="B1099:J1104"/>
    </sheetView>
  </sheetViews>
  <sheetFormatPr defaultColWidth="9" defaultRowHeight="21" customHeight="1" x14ac:dyDescent="0.3"/>
  <cols>
    <col min="1" max="1" width="1.25" style="1" customWidth="1"/>
    <col min="2" max="2" width="8.75" style="13" customWidth="1"/>
    <col min="3" max="3" width="15" style="13" customWidth="1"/>
    <col min="4" max="4" width="10" style="13" customWidth="1"/>
    <col min="5" max="5" width="12.5" style="13" customWidth="1"/>
    <col min="6" max="6" width="10.625" style="7" customWidth="1"/>
    <col min="7" max="7" width="23.625" style="2" customWidth="1"/>
    <col min="8" max="8" width="13.375" style="2" bestFit="1" customWidth="1"/>
    <col min="9" max="10" width="21.25" style="16" customWidth="1"/>
    <col min="11" max="16384" width="9" style="1"/>
  </cols>
  <sheetData>
    <row r="1" spans="2:11" ht="37.5" customHeight="1" x14ac:dyDescent="0.3">
      <c r="B1" s="9" t="s">
        <v>20</v>
      </c>
      <c r="C1" s="1"/>
      <c r="D1" s="1"/>
      <c r="E1" s="1"/>
      <c r="F1" s="1"/>
      <c r="G1" s="1"/>
      <c r="H1" s="1"/>
      <c r="I1" s="1"/>
      <c r="J1" s="1"/>
    </row>
    <row r="2" spans="2:11" ht="22.5" customHeight="1" thickBot="1" x14ac:dyDescent="0.35">
      <c r="B2" s="11" t="s">
        <v>7</v>
      </c>
      <c r="C2" s="11" t="s">
        <v>8</v>
      </c>
      <c r="D2" s="18" t="s">
        <v>9</v>
      </c>
      <c r="E2" s="11" t="s">
        <v>21</v>
      </c>
      <c r="F2" s="11" t="s">
        <v>209</v>
      </c>
      <c r="G2" s="11" t="s">
        <v>207</v>
      </c>
      <c r="H2" s="11" t="s">
        <v>208</v>
      </c>
      <c r="I2" s="11" t="s">
        <v>23</v>
      </c>
      <c r="J2" s="11" t="s">
        <v>24</v>
      </c>
      <c r="K2" s="127"/>
    </row>
    <row r="3" spans="2:11" ht="21" customHeight="1" x14ac:dyDescent="0.3">
      <c r="B3" s="13" t="s">
        <v>227</v>
      </c>
      <c r="C3" s="13" t="s">
        <v>232</v>
      </c>
      <c r="D3" s="19" t="s">
        <v>244</v>
      </c>
      <c r="E3" s="13" t="s">
        <v>79</v>
      </c>
      <c r="F3" s="7">
        <v>44257</v>
      </c>
      <c r="H3" s="2">
        <v>1</v>
      </c>
      <c r="I3" s="217"/>
    </row>
    <row r="4" spans="2:11" ht="21" customHeight="1" x14ac:dyDescent="0.3">
      <c r="B4" s="13" t="s">
        <v>227</v>
      </c>
      <c r="C4" s="13" t="s">
        <v>232</v>
      </c>
      <c r="D4" s="19" t="s">
        <v>244</v>
      </c>
      <c r="E4" s="13" t="s">
        <v>79</v>
      </c>
      <c r="F4" s="7">
        <v>44336</v>
      </c>
      <c r="H4" s="2">
        <v>1</v>
      </c>
      <c r="I4" s="217" t="s">
        <v>258</v>
      </c>
    </row>
    <row r="5" spans="2:11" ht="21" customHeight="1" x14ac:dyDescent="0.3">
      <c r="B5" s="13" t="s">
        <v>227</v>
      </c>
      <c r="C5" s="13" t="s">
        <v>232</v>
      </c>
      <c r="D5" s="19" t="s">
        <v>244</v>
      </c>
      <c r="E5" s="13" t="s">
        <v>79</v>
      </c>
      <c r="F5" s="7">
        <v>44396</v>
      </c>
      <c r="H5" s="2">
        <v>1</v>
      </c>
      <c r="I5" s="217" t="s">
        <v>79</v>
      </c>
    </row>
    <row r="6" spans="2:11" ht="21" customHeight="1" x14ac:dyDescent="0.3">
      <c r="B6" s="13" t="s">
        <v>226</v>
      </c>
      <c r="C6" s="13" t="s">
        <v>232</v>
      </c>
      <c r="D6" s="19" t="s">
        <v>244</v>
      </c>
      <c r="E6" s="13" t="s">
        <v>79</v>
      </c>
      <c r="F6" s="7">
        <v>44209</v>
      </c>
      <c r="H6" s="2">
        <v>1</v>
      </c>
      <c r="I6" s="217"/>
    </row>
    <row r="7" spans="2:11" ht="21" customHeight="1" x14ac:dyDescent="0.3">
      <c r="B7" s="13" t="s">
        <v>226</v>
      </c>
      <c r="C7" s="13" t="s">
        <v>232</v>
      </c>
      <c r="D7" s="19" t="s">
        <v>244</v>
      </c>
      <c r="E7" s="13" t="s">
        <v>79</v>
      </c>
      <c r="F7" s="7">
        <v>44242</v>
      </c>
      <c r="H7" s="2">
        <v>1</v>
      </c>
      <c r="I7" s="217"/>
    </row>
    <row r="8" spans="2:11" ht="21" customHeight="1" x14ac:dyDescent="0.3">
      <c r="B8" s="13" t="s">
        <v>226</v>
      </c>
      <c r="C8" s="13" t="s">
        <v>232</v>
      </c>
      <c r="D8" s="19" t="s">
        <v>244</v>
      </c>
      <c r="E8" s="13" t="s">
        <v>79</v>
      </c>
      <c r="F8" s="7">
        <v>44284</v>
      </c>
      <c r="H8" s="2">
        <v>1</v>
      </c>
      <c r="I8" s="217"/>
    </row>
    <row r="9" spans="2:11" ht="21" customHeight="1" x14ac:dyDescent="0.3">
      <c r="B9" s="13" t="s">
        <v>226</v>
      </c>
      <c r="C9" s="13" t="s">
        <v>232</v>
      </c>
      <c r="D9" s="19" t="s">
        <v>244</v>
      </c>
      <c r="E9" s="13" t="s">
        <v>79</v>
      </c>
      <c r="F9" s="7">
        <v>44312</v>
      </c>
      <c r="H9" s="2">
        <v>1</v>
      </c>
      <c r="I9" s="217"/>
    </row>
    <row r="10" spans="2:11" ht="21" customHeight="1" x14ac:dyDescent="0.3">
      <c r="B10" s="13" t="s">
        <v>226</v>
      </c>
      <c r="C10" s="13" t="s">
        <v>232</v>
      </c>
      <c r="D10" s="19" t="s">
        <v>244</v>
      </c>
      <c r="E10" s="13" t="s">
        <v>79</v>
      </c>
      <c r="F10" s="7">
        <v>44340</v>
      </c>
      <c r="H10" s="2">
        <v>1</v>
      </c>
      <c r="I10" s="217" t="s">
        <v>79</v>
      </c>
    </row>
    <row r="11" spans="2:11" ht="21" customHeight="1" x14ac:dyDescent="0.3">
      <c r="B11" s="13" t="s">
        <v>226</v>
      </c>
      <c r="C11" s="13" t="s">
        <v>232</v>
      </c>
      <c r="D11" s="19" t="s">
        <v>244</v>
      </c>
      <c r="E11" s="13" t="s">
        <v>79</v>
      </c>
      <c r="F11" s="7">
        <v>44354</v>
      </c>
      <c r="H11" s="2">
        <v>1</v>
      </c>
      <c r="I11" s="217" t="s">
        <v>79</v>
      </c>
    </row>
    <row r="12" spans="2:11" ht="21" customHeight="1" x14ac:dyDescent="0.3">
      <c r="B12" s="13" t="s">
        <v>215</v>
      </c>
      <c r="C12" s="13" t="s">
        <v>232</v>
      </c>
      <c r="D12" s="19" t="s">
        <v>239</v>
      </c>
      <c r="E12" s="13" t="s">
        <v>79</v>
      </c>
      <c r="F12" s="7">
        <v>44407</v>
      </c>
      <c r="H12" s="2">
        <v>1</v>
      </c>
      <c r="I12" s="217" t="s">
        <v>252</v>
      </c>
    </row>
    <row r="13" spans="2:11" ht="21" customHeight="1" x14ac:dyDescent="0.3">
      <c r="B13" s="13" t="s">
        <v>228</v>
      </c>
      <c r="C13" s="13" t="s">
        <v>238</v>
      </c>
      <c r="D13" s="19" t="s">
        <v>246</v>
      </c>
      <c r="E13" s="13" t="s">
        <v>79</v>
      </c>
      <c r="F13" s="7">
        <v>44316</v>
      </c>
      <c r="H13" s="2">
        <v>1</v>
      </c>
      <c r="I13" s="217"/>
    </row>
    <row r="14" spans="2:11" ht="21" customHeight="1" x14ac:dyDescent="0.3">
      <c r="B14" s="13" t="s">
        <v>228</v>
      </c>
      <c r="C14" s="13" t="s">
        <v>238</v>
      </c>
      <c r="D14" s="19" t="s">
        <v>246</v>
      </c>
      <c r="E14" s="13" t="s">
        <v>79</v>
      </c>
      <c r="F14" s="7">
        <v>44375</v>
      </c>
      <c r="H14" s="2">
        <v>1</v>
      </c>
      <c r="I14" s="217" t="s">
        <v>79</v>
      </c>
    </row>
    <row r="15" spans="2:11" ht="21" customHeight="1" x14ac:dyDescent="0.3">
      <c r="B15" s="13" t="s">
        <v>228</v>
      </c>
      <c r="C15" s="13" t="s">
        <v>238</v>
      </c>
      <c r="D15" s="19" t="s">
        <v>246</v>
      </c>
      <c r="E15" s="13" t="s">
        <v>79</v>
      </c>
      <c r="F15" s="7">
        <v>44400</v>
      </c>
      <c r="H15" s="2">
        <v>1</v>
      </c>
      <c r="I15" s="217"/>
    </row>
    <row r="16" spans="2:11" ht="21" customHeight="1" x14ac:dyDescent="0.3">
      <c r="B16" s="13" t="s">
        <v>260</v>
      </c>
      <c r="C16" s="13" t="s">
        <v>235</v>
      </c>
      <c r="D16" s="19" t="s">
        <v>244</v>
      </c>
      <c r="E16" s="13" t="s">
        <v>79</v>
      </c>
      <c r="F16" s="7">
        <v>44209</v>
      </c>
      <c r="H16" s="2">
        <v>1</v>
      </c>
      <c r="I16" s="217"/>
    </row>
    <row r="17" spans="2:9" ht="21" customHeight="1" x14ac:dyDescent="0.3">
      <c r="B17" s="13" t="s">
        <v>260</v>
      </c>
      <c r="C17" s="13" t="s">
        <v>235</v>
      </c>
      <c r="D17" s="19" t="s">
        <v>244</v>
      </c>
      <c r="E17" s="13" t="s">
        <v>79</v>
      </c>
      <c r="F17" s="7">
        <v>44277</v>
      </c>
      <c r="H17" s="2">
        <v>1</v>
      </c>
      <c r="I17" s="217"/>
    </row>
    <row r="18" spans="2:9" ht="21" customHeight="1" x14ac:dyDescent="0.3">
      <c r="B18" s="13" t="s">
        <v>260</v>
      </c>
      <c r="C18" s="13" t="s">
        <v>235</v>
      </c>
      <c r="D18" s="19" t="s">
        <v>244</v>
      </c>
      <c r="E18" s="13" t="s">
        <v>81</v>
      </c>
      <c r="F18" s="7">
        <v>44308</v>
      </c>
      <c r="H18" s="2">
        <v>0.5</v>
      </c>
      <c r="I18" s="217"/>
    </row>
    <row r="19" spans="2:9" ht="21" customHeight="1" x14ac:dyDescent="0.3">
      <c r="B19" s="13" t="s">
        <v>260</v>
      </c>
      <c r="C19" s="13" t="s">
        <v>235</v>
      </c>
      <c r="D19" s="19" t="s">
        <v>244</v>
      </c>
      <c r="E19" s="13" t="s">
        <v>81</v>
      </c>
      <c r="F19" s="7">
        <v>44309</v>
      </c>
      <c r="H19" s="2">
        <v>0.5</v>
      </c>
      <c r="I19" s="217"/>
    </row>
    <row r="20" spans="2:9" ht="21" customHeight="1" x14ac:dyDescent="0.3">
      <c r="B20" s="13" t="s">
        <v>260</v>
      </c>
      <c r="C20" s="13" t="s">
        <v>235</v>
      </c>
      <c r="D20" s="19" t="s">
        <v>244</v>
      </c>
      <c r="E20" s="13" t="s">
        <v>79</v>
      </c>
      <c r="F20" s="7">
        <v>44336</v>
      </c>
      <c r="H20" s="2">
        <v>1</v>
      </c>
      <c r="I20" s="217"/>
    </row>
    <row r="21" spans="2:9" ht="21" customHeight="1" x14ac:dyDescent="0.3">
      <c r="B21" s="13" t="s">
        <v>260</v>
      </c>
      <c r="C21" s="13" t="s">
        <v>235</v>
      </c>
      <c r="D21" s="19" t="s">
        <v>244</v>
      </c>
      <c r="E21" s="13" t="s">
        <v>79</v>
      </c>
      <c r="F21" s="7">
        <v>44370</v>
      </c>
      <c r="H21" s="2">
        <v>1</v>
      </c>
      <c r="I21" s="217" t="s">
        <v>79</v>
      </c>
    </row>
    <row r="22" spans="2:9" ht="21" customHeight="1" x14ac:dyDescent="0.3">
      <c r="B22" s="13" t="s">
        <v>231</v>
      </c>
      <c r="C22" s="13" t="s">
        <v>235</v>
      </c>
      <c r="D22" s="19" t="s">
        <v>246</v>
      </c>
      <c r="E22" s="13" t="s">
        <v>79</v>
      </c>
      <c r="F22" s="7">
        <v>44400</v>
      </c>
      <c r="H22" s="2">
        <v>1</v>
      </c>
      <c r="I22" s="217"/>
    </row>
    <row r="23" spans="2:9" ht="21" customHeight="1" x14ac:dyDescent="0.3">
      <c r="B23" s="13" t="s">
        <v>220</v>
      </c>
      <c r="C23" s="13" t="s">
        <v>235</v>
      </c>
      <c r="D23" s="19" t="s">
        <v>241</v>
      </c>
      <c r="E23" s="13" t="s">
        <v>79</v>
      </c>
      <c r="F23" s="7">
        <v>44207</v>
      </c>
      <c r="H23" s="2">
        <v>1</v>
      </c>
      <c r="I23" s="217"/>
    </row>
    <row r="24" spans="2:9" ht="21" customHeight="1" x14ac:dyDescent="0.3">
      <c r="B24" s="13" t="s">
        <v>220</v>
      </c>
      <c r="C24" s="13" t="s">
        <v>235</v>
      </c>
      <c r="D24" s="19" t="s">
        <v>241</v>
      </c>
      <c r="E24" s="13" t="s">
        <v>79</v>
      </c>
      <c r="F24" s="7">
        <v>44270</v>
      </c>
      <c r="H24" s="2">
        <v>1</v>
      </c>
      <c r="I24" s="217"/>
    </row>
    <row r="25" spans="2:9" ht="21" customHeight="1" x14ac:dyDescent="0.3">
      <c r="B25" s="13" t="s">
        <v>220</v>
      </c>
      <c r="C25" s="13" t="s">
        <v>235</v>
      </c>
      <c r="D25" s="19" t="s">
        <v>241</v>
      </c>
      <c r="E25" s="13" t="s">
        <v>79</v>
      </c>
      <c r="F25" s="7">
        <v>44301</v>
      </c>
      <c r="H25" s="2">
        <v>1</v>
      </c>
      <c r="I25" s="217"/>
    </row>
    <row r="26" spans="2:9" ht="21" customHeight="1" x14ac:dyDescent="0.3">
      <c r="B26" s="13" t="s">
        <v>220</v>
      </c>
      <c r="C26" s="13" t="s">
        <v>235</v>
      </c>
      <c r="D26" s="19" t="s">
        <v>241</v>
      </c>
      <c r="E26" s="13" t="s">
        <v>79</v>
      </c>
      <c r="F26" s="7">
        <v>44302</v>
      </c>
      <c r="H26" s="2">
        <v>1</v>
      </c>
      <c r="I26" s="217"/>
    </row>
    <row r="27" spans="2:9" ht="21" customHeight="1" x14ac:dyDescent="0.3">
      <c r="B27" s="13" t="s">
        <v>220</v>
      </c>
      <c r="C27" s="13" t="s">
        <v>235</v>
      </c>
      <c r="D27" s="19" t="s">
        <v>241</v>
      </c>
      <c r="E27" s="13" t="s">
        <v>79</v>
      </c>
      <c r="F27" s="7">
        <v>44330</v>
      </c>
      <c r="H27" s="2">
        <v>1</v>
      </c>
      <c r="I27" s="217"/>
    </row>
    <row r="28" spans="2:9" ht="21" customHeight="1" x14ac:dyDescent="0.3">
      <c r="B28" s="13" t="s">
        <v>220</v>
      </c>
      <c r="C28" s="13" t="s">
        <v>235</v>
      </c>
      <c r="D28" s="19" t="s">
        <v>241</v>
      </c>
      <c r="E28" s="13" t="s">
        <v>79</v>
      </c>
      <c r="F28" s="7">
        <v>44365</v>
      </c>
      <c r="H28" s="2">
        <v>1</v>
      </c>
      <c r="I28" s="217" t="s">
        <v>79</v>
      </c>
    </row>
    <row r="29" spans="2:9" ht="21" customHeight="1" x14ac:dyDescent="0.3">
      <c r="B29" s="13" t="s">
        <v>220</v>
      </c>
      <c r="C29" s="13" t="s">
        <v>235</v>
      </c>
      <c r="D29" s="19" t="s">
        <v>241</v>
      </c>
      <c r="E29" s="13" t="s">
        <v>79</v>
      </c>
      <c r="F29" s="7">
        <v>44393</v>
      </c>
      <c r="H29" s="2">
        <v>1</v>
      </c>
      <c r="I29" s="217"/>
    </row>
    <row r="30" spans="2:9" ht="21" customHeight="1" x14ac:dyDescent="0.3">
      <c r="B30" s="13" t="s">
        <v>216</v>
      </c>
      <c r="C30" s="13" t="s">
        <v>233</v>
      </c>
      <c r="D30" s="19" t="s">
        <v>240</v>
      </c>
      <c r="E30" s="13" t="s">
        <v>79</v>
      </c>
      <c r="F30" s="7">
        <v>44211</v>
      </c>
      <c r="H30" s="2">
        <v>1</v>
      </c>
      <c r="I30" s="217"/>
    </row>
    <row r="31" spans="2:9" ht="21" customHeight="1" x14ac:dyDescent="0.3">
      <c r="B31" s="13" t="s">
        <v>216</v>
      </c>
      <c r="C31" s="13" t="s">
        <v>233</v>
      </c>
      <c r="D31" s="19" t="s">
        <v>240</v>
      </c>
      <c r="E31" s="13" t="s">
        <v>79</v>
      </c>
      <c r="F31" s="7">
        <v>44249</v>
      </c>
      <c r="H31" s="2">
        <v>1</v>
      </c>
      <c r="I31" s="217"/>
    </row>
    <row r="32" spans="2:9" ht="21" customHeight="1" x14ac:dyDescent="0.3">
      <c r="B32" s="13" t="s">
        <v>216</v>
      </c>
      <c r="C32" s="13" t="s">
        <v>233</v>
      </c>
      <c r="D32" s="19" t="s">
        <v>240</v>
      </c>
      <c r="E32" s="13" t="s">
        <v>79</v>
      </c>
      <c r="F32" s="7">
        <v>44281</v>
      </c>
      <c r="H32" s="2">
        <v>1</v>
      </c>
      <c r="I32" s="217"/>
    </row>
    <row r="33" spans="2:9" ht="21" customHeight="1" x14ac:dyDescent="0.3">
      <c r="B33" s="13" t="s">
        <v>216</v>
      </c>
      <c r="C33" s="13" t="s">
        <v>233</v>
      </c>
      <c r="D33" s="19" t="s">
        <v>240</v>
      </c>
      <c r="E33" s="13" t="s">
        <v>79</v>
      </c>
      <c r="F33" s="7">
        <v>44341</v>
      </c>
      <c r="H33" s="2">
        <v>1</v>
      </c>
      <c r="I33" s="217" t="s">
        <v>79</v>
      </c>
    </row>
    <row r="34" spans="2:9" ht="21" customHeight="1" x14ac:dyDescent="0.3">
      <c r="B34" s="13" t="s">
        <v>216</v>
      </c>
      <c r="C34" s="13" t="s">
        <v>233</v>
      </c>
      <c r="D34" s="19" t="s">
        <v>240</v>
      </c>
      <c r="E34" s="13" t="s">
        <v>79</v>
      </c>
      <c r="F34" s="7">
        <v>44363</v>
      </c>
      <c r="H34" s="2">
        <v>1</v>
      </c>
      <c r="I34" s="217" t="s">
        <v>79</v>
      </c>
    </row>
    <row r="35" spans="2:9" ht="21" customHeight="1" x14ac:dyDescent="0.3">
      <c r="B35" s="13" t="s">
        <v>222</v>
      </c>
      <c r="C35" s="13" t="s">
        <v>235</v>
      </c>
      <c r="D35" s="19" t="s">
        <v>243</v>
      </c>
      <c r="E35" s="13" t="s">
        <v>79</v>
      </c>
      <c r="F35" s="7">
        <v>44211</v>
      </c>
      <c r="H35" s="2">
        <v>1</v>
      </c>
      <c r="I35" s="217"/>
    </row>
    <row r="36" spans="2:9" ht="21" customHeight="1" x14ac:dyDescent="0.3">
      <c r="B36" s="13" t="s">
        <v>222</v>
      </c>
      <c r="C36" s="13" t="s">
        <v>235</v>
      </c>
      <c r="D36" s="19" t="s">
        <v>243</v>
      </c>
      <c r="E36" s="13" t="s">
        <v>79</v>
      </c>
      <c r="F36" s="7">
        <v>44249</v>
      </c>
      <c r="H36" s="2">
        <v>1</v>
      </c>
      <c r="I36" s="217"/>
    </row>
    <row r="37" spans="2:9" ht="21" customHeight="1" x14ac:dyDescent="0.3">
      <c r="B37" s="13" t="s">
        <v>222</v>
      </c>
      <c r="C37" s="13" t="s">
        <v>235</v>
      </c>
      <c r="D37" s="19" t="s">
        <v>243</v>
      </c>
      <c r="E37" s="13" t="s">
        <v>79</v>
      </c>
      <c r="F37" s="7">
        <v>44274</v>
      </c>
      <c r="H37" s="2">
        <v>1</v>
      </c>
      <c r="I37" s="217"/>
    </row>
    <row r="38" spans="2:9" ht="21" customHeight="1" x14ac:dyDescent="0.3">
      <c r="B38" s="13" t="s">
        <v>222</v>
      </c>
      <c r="C38" s="13" t="s">
        <v>235</v>
      </c>
      <c r="D38" s="19" t="s">
        <v>243</v>
      </c>
      <c r="E38" s="13" t="s">
        <v>81</v>
      </c>
      <c r="F38" s="7">
        <v>44288</v>
      </c>
      <c r="H38" s="2">
        <v>0.5</v>
      </c>
      <c r="I38" s="217"/>
    </row>
    <row r="39" spans="2:9" ht="21" customHeight="1" x14ac:dyDescent="0.3">
      <c r="B39" s="13" t="s">
        <v>222</v>
      </c>
      <c r="C39" s="13" t="s">
        <v>235</v>
      </c>
      <c r="D39" s="19" t="s">
        <v>243</v>
      </c>
      <c r="E39" s="13" t="s">
        <v>79</v>
      </c>
      <c r="F39" s="7">
        <v>44308</v>
      </c>
      <c r="H39" s="2">
        <v>1</v>
      </c>
      <c r="I39" s="217"/>
    </row>
    <row r="40" spans="2:9" ht="21" customHeight="1" x14ac:dyDescent="0.3">
      <c r="B40" s="13" t="s">
        <v>222</v>
      </c>
      <c r="C40" s="13" t="s">
        <v>235</v>
      </c>
      <c r="D40" s="19" t="s">
        <v>243</v>
      </c>
      <c r="E40" s="13" t="s">
        <v>79</v>
      </c>
      <c r="F40" s="7">
        <v>44320</v>
      </c>
      <c r="H40" s="2">
        <v>1</v>
      </c>
      <c r="I40" s="217" t="s">
        <v>79</v>
      </c>
    </row>
    <row r="41" spans="2:9" ht="21" customHeight="1" x14ac:dyDescent="0.3">
      <c r="B41" s="13" t="s">
        <v>222</v>
      </c>
      <c r="C41" s="13" t="s">
        <v>235</v>
      </c>
      <c r="D41" s="19" t="s">
        <v>243</v>
      </c>
      <c r="E41" s="13" t="s">
        <v>81</v>
      </c>
      <c r="F41" s="7">
        <v>44328</v>
      </c>
      <c r="H41" s="2">
        <v>0.5</v>
      </c>
      <c r="I41" s="217"/>
    </row>
    <row r="42" spans="2:9" ht="21" customHeight="1" x14ac:dyDescent="0.3">
      <c r="B42" s="13" t="s">
        <v>222</v>
      </c>
      <c r="C42" s="13" t="s">
        <v>235</v>
      </c>
      <c r="D42" s="19" t="s">
        <v>243</v>
      </c>
      <c r="E42" s="13" t="s">
        <v>79</v>
      </c>
      <c r="F42" s="7">
        <v>44329</v>
      </c>
      <c r="H42" s="2">
        <v>1</v>
      </c>
      <c r="I42" s="217" t="s">
        <v>79</v>
      </c>
    </row>
    <row r="43" spans="2:9" ht="21" customHeight="1" x14ac:dyDescent="0.3">
      <c r="B43" s="13" t="s">
        <v>222</v>
      </c>
      <c r="C43" s="13" t="s">
        <v>235</v>
      </c>
      <c r="D43" s="19" t="s">
        <v>243</v>
      </c>
      <c r="E43" s="13" t="s">
        <v>81</v>
      </c>
      <c r="F43" s="7">
        <v>44348</v>
      </c>
      <c r="H43" s="2">
        <v>0.5</v>
      </c>
      <c r="I43" s="217" t="s">
        <v>259</v>
      </c>
    </row>
    <row r="44" spans="2:9" ht="21" customHeight="1" x14ac:dyDescent="0.3">
      <c r="B44" s="13" t="s">
        <v>222</v>
      </c>
      <c r="C44" s="13" t="s">
        <v>235</v>
      </c>
      <c r="D44" s="19" t="s">
        <v>243</v>
      </c>
      <c r="E44" s="13" t="s">
        <v>81</v>
      </c>
      <c r="F44" s="7">
        <v>44355</v>
      </c>
      <c r="H44" s="2">
        <v>0.5</v>
      </c>
      <c r="I44" s="217" t="s">
        <v>258</v>
      </c>
    </row>
    <row r="45" spans="2:9" ht="21" customHeight="1" x14ac:dyDescent="0.3">
      <c r="B45" s="13" t="s">
        <v>222</v>
      </c>
      <c r="C45" s="13" t="s">
        <v>235</v>
      </c>
      <c r="D45" s="19" t="s">
        <v>243</v>
      </c>
      <c r="E45" s="13" t="s">
        <v>81</v>
      </c>
      <c r="F45" s="7">
        <v>44356</v>
      </c>
      <c r="H45" s="2">
        <v>0.5</v>
      </c>
      <c r="I45" s="217" t="s">
        <v>259</v>
      </c>
    </row>
    <row r="46" spans="2:9" ht="21" customHeight="1" x14ac:dyDescent="0.3">
      <c r="B46" s="13" t="s">
        <v>222</v>
      </c>
      <c r="C46" s="13" t="s">
        <v>235</v>
      </c>
      <c r="D46" s="19" t="s">
        <v>243</v>
      </c>
      <c r="E46" s="13" t="s">
        <v>79</v>
      </c>
      <c r="F46" s="7">
        <v>44386</v>
      </c>
      <c r="H46" s="2">
        <v>1</v>
      </c>
      <c r="I46" s="217" t="s">
        <v>256</v>
      </c>
    </row>
    <row r="47" spans="2:9" ht="21" customHeight="1" x14ac:dyDescent="0.3">
      <c r="B47" s="13" t="s">
        <v>222</v>
      </c>
      <c r="C47" s="13" t="s">
        <v>235</v>
      </c>
      <c r="D47" s="19" t="s">
        <v>243</v>
      </c>
      <c r="E47" s="13" t="s">
        <v>79</v>
      </c>
      <c r="F47" s="7">
        <v>44389</v>
      </c>
      <c r="H47" s="2">
        <v>1</v>
      </c>
      <c r="I47" s="217" t="s">
        <v>256</v>
      </c>
    </row>
    <row r="48" spans="2:9" ht="21" customHeight="1" x14ac:dyDescent="0.3">
      <c r="B48" s="13" t="s">
        <v>222</v>
      </c>
      <c r="C48" s="13" t="s">
        <v>235</v>
      </c>
      <c r="D48" s="19" t="s">
        <v>243</v>
      </c>
      <c r="E48" s="13" t="s">
        <v>79</v>
      </c>
      <c r="F48" s="7">
        <v>44390</v>
      </c>
      <c r="H48" s="2">
        <v>1</v>
      </c>
      <c r="I48" s="217" t="s">
        <v>256</v>
      </c>
    </row>
    <row r="49" spans="2:10" ht="21" customHeight="1" x14ac:dyDescent="0.3">
      <c r="B49" s="13" t="s">
        <v>222</v>
      </c>
      <c r="C49" s="13" t="s">
        <v>235</v>
      </c>
      <c r="D49" s="19" t="s">
        <v>243</v>
      </c>
      <c r="E49" s="13" t="s">
        <v>79</v>
      </c>
      <c r="F49" s="7">
        <v>44391</v>
      </c>
      <c r="H49" s="2">
        <v>1</v>
      </c>
      <c r="I49" s="217" t="s">
        <v>256</v>
      </c>
    </row>
    <row r="50" spans="2:10" ht="21" customHeight="1" x14ac:dyDescent="0.3">
      <c r="B50" s="13" t="s">
        <v>222</v>
      </c>
      <c r="C50" s="13" t="s">
        <v>235</v>
      </c>
      <c r="D50" s="19" t="s">
        <v>243</v>
      </c>
      <c r="E50" s="13" t="s">
        <v>79</v>
      </c>
      <c r="F50" s="7">
        <v>44392</v>
      </c>
      <c r="H50" s="2">
        <v>1</v>
      </c>
      <c r="I50" s="217" t="s">
        <v>256</v>
      </c>
    </row>
    <row r="51" spans="2:10" ht="21" customHeight="1" x14ac:dyDescent="0.3">
      <c r="B51" s="13" t="s">
        <v>222</v>
      </c>
      <c r="C51" s="13" t="s">
        <v>235</v>
      </c>
      <c r="D51" s="19" t="s">
        <v>243</v>
      </c>
      <c r="E51" s="13" t="s">
        <v>79</v>
      </c>
      <c r="F51" s="7">
        <v>44393</v>
      </c>
      <c r="H51" s="2">
        <v>1</v>
      </c>
      <c r="I51" s="217" t="s">
        <v>256</v>
      </c>
    </row>
    <row r="52" spans="2:10" ht="21" customHeight="1" x14ac:dyDescent="0.3">
      <c r="B52" s="13" t="s">
        <v>222</v>
      </c>
      <c r="C52" s="13" t="s">
        <v>235</v>
      </c>
      <c r="D52" s="19" t="s">
        <v>243</v>
      </c>
      <c r="E52" s="13" t="s">
        <v>81</v>
      </c>
      <c r="F52" s="7">
        <v>44347</v>
      </c>
      <c r="H52" s="2">
        <v>0.5</v>
      </c>
      <c r="I52" s="217"/>
    </row>
    <row r="53" spans="2:10" ht="21" customHeight="1" x14ac:dyDescent="0.3">
      <c r="B53" s="13" t="s">
        <v>310</v>
      </c>
      <c r="C53" s="13" t="s">
        <v>232</v>
      </c>
      <c r="D53" s="19" t="s">
        <v>240</v>
      </c>
      <c r="E53" s="13" t="s">
        <v>79</v>
      </c>
      <c r="F53" s="7">
        <v>44207</v>
      </c>
      <c r="H53" s="2">
        <v>1</v>
      </c>
      <c r="I53" s="217"/>
    </row>
    <row r="54" spans="2:10" ht="21" customHeight="1" x14ac:dyDescent="0.3">
      <c r="B54" s="13" t="s">
        <v>310</v>
      </c>
      <c r="C54" s="13" t="s">
        <v>232</v>
      </c>
      <c r="D54" s="19" t="s">
        <v>240</v>
      </c>
      <c r="E54" s="13" t="s">
        <v>79</v>
      </c>
      <c r="F54" s="7">
        <v>44215</v>
      </c>
      <c r="H54" s="2">
        <v>1</v>
      </c>
      <c r="I54" s="217"/>
    </row>
    <row r="55" spans="2:10" ht="21" customHeight="1" x14ac:dyDescent="0.3">
      <c r="B55" s="13" t="s">
        <v>310</v>
      </c>
      <c r="C55" s="13" t="s">
        <v>232</v>
      </c>
      <c r="D55" s="19" t="s">
        <v>240</v>
      </c>
      <c r="E55" s="13" t="s">
        <v>79</v>
      </c>
      <c r="F55" s="7">
        <v>44263</v>
      </c>
      <c r="H55" s="2">
        <v>1</v>
      </c>
      <c r="I55" s="217"/>
    </row>
    <row r="56" spans="2:10" ht="21" customHeight="1" x14ac:dyDescent="0.3">
      <c r="B56" s="13" t="s">
        <v>310</v>
      </c>
      <c r="C56" s="13" t="s">
        <v>232</v>
      </c>
      <c r="D56" s="19" t="s">
        <v>240</v>
      </c>
      <c r="E56" s="13" t="s">
        <v>79</v>
      </c>
      <c r="F56" s="7">
        <v>44291</v>
      </c>
      <c r="H56" s="2">
        <v>1</v>
      </c>
      <c r="I56" s="217"/>
    </row>
    <row r="57" spans="2:10" ht="21" customHeight="1" x14ac:dyDescent="0.3">
      <c r="B57" s="13" t="s">
        <v>310</v>
      </c>
      <c r="C57" s="13" t="s">
        <v>232</v>
      </c>
      <c r="D57" s="19" t="s">
        <v>240</v>
      </c>
      <c r="E57" s="13" t="s">
        <v>79</v>
      </c>
      <c r="F57" s="7">
        <v>44309</v>
      </c>
      <c r="H57" s="2">
        <v>1</v>
      </c>
      <c r="I57" s="217"/>
    </row>
    <row r="58" spans="2:10" ht="21" customHeight="1" x14ac:dyDescent="0.3">
      <c r="B58" s="13" t="s">
        <v>310</v>
      </c>
      <c r="C58" s="13" t="s">
        <v>232</v>
      </c>
      <c r="D58" s="19" t="s">
        <v>240</v>
      </c>
      <c r="E58" s="13" t="s">
        <v>79</v>
      </c>
      <c r="F58" s="7">
        <v>44389</v>
      </c>
      <c r="H58" s="2">
        <v>1</v>
      </c>
      <c r="I58" s="217" t="s">
        <v>79</v>
      </c>
    </row>
    <row r="59" spans="2:10" ht="21" customHeight="1" x14ac:dyDescent="0.3">
      <c r="B59" s="13" t="s">
        <v>310</v>
      </c>
      <c r="C59" s="13" t="s">
        <v>232</v>
      </c>
      <c r="D59" s="19" t="s">
        <v>240</v>
      </c>
      <c r="E59" s="13" t="s">
        <v>79</v>
      </c>
      <c r="F59" s="7">
        <v>44407</v>
      </c>
      <c r="H59" s="2">
        <v>1</v>
      </c>
      <c r="I59" s="217" t="s">
        <v>79</v>
      </c>
      <c r="J59" s="16" t="s">
        <v>253</v>
      </c>
    </row>
    <row r="60" spans="2:10" ht="21" customHeight="1" x14ac:dyDescent="0.3">
      <c r="B60" s="13" t="s">
        <v>224</v>
      </c>
      <c r="C60" s="13" t="s">
        <v>232</v>
      </c>
      <c r="D60" s="19" t="s">
        <v>241</v>
      </c>
      <c r="E60" s="13" t="s">
        <v>79</v>
      </c>
      <c r="F60" s="7">
        <v>44214</v>
      </c>
      <c r="H60" s="2">
        <v>1</v>
      </c>
      <c r="I60" s="217"/>
    </row>
    <row r="61" spans="2:10" ht="21" customHeight="1" x14ac:dyDescent="0.3">
      <c r="B61" s="13" t="s">
        <v>224</v>
      </c>
      <c r="C61" s="13" t="s">
        <v>232</v>
      </c>
      <c r="D61" s="19" t="s">
        <v>241</v>
      </c>
      <c r="E61" s="13" t="s">
        <v>79</v>
      </c>
      <c r="F61" s="7">
        <v>44249</v>
      </c>
      <c r="H61" s="2">
        <v>1</v>
      </c>
      <c r="I61" s="217"/>
    </row>
    <row r="62" spans="2:10" ht="21" customHeight="1" x14ac:dyDescent="0.3">
      <c r="B62" s="13" t="s">
        <v>224</v>
      </c>
      <c r="C62" s="13" t="s">
        <v>232</v>
      </c>
      <c r="D62" s="19" t="s">
        <v>241</v>
      </c>
      <c r="E62" s="13" t="s">
        <v>79</v>
      </c>
      <c r="F62" s="7">
        <v>44277</v>
      </c>
      <c r="H62" s="2">
        <v>1</v>
      </c>
      <c r="I62" s="217"/>
    </row>
    <row r="63" spans="2:10" ht="21" customHeight="1" x14ac:dyDescent="0.3">
      <c r="B63" s="13" t="s">
        <v>224</v>
      </c>
      <c r="C63" s="13" t="s">
        <v>232</v>
      </c>
      <c r="D63" s="19" t="s">
        <v>241</v>
      </c>
      <c r="E63" s="13" t="s">
        <v>79</v>
      </c>
      <c r="F63" s="7">
        <v>44305</v>
      </c>
      <c r="H63" s="2">
        <v>1</v>
      </c>
      <c r="I63" s="217"/>
    </row>
    <row r="64" spans="2:10" ht="21" customHeight="1" x14ac:dyDescent="0.3">
      <c r="B64" s="13" t="s">
        <v>224</v>
      </c>
      <c r="C64" s="13" t="s">
        <v>232</v>
      </c>
      <c r="D64" s="19" t="s">
        <v>241</v>
      </c>
      <c r="E64" s="13" t="s">
        <v>79</v>
      </c>
      <c r="F64" s="7">
        <v>44333</v>
      </c>
      <c r="H64" s="2">
        <v>1</v>
      </c>
      <c r="I64" s="217" t="s">
        <v>79</v>
      </c>
    </row>
    <row r="65" spans="2:9" ht="21" customHeight="1" x14ac:dyDescent="0.3">
      <c r="B65" s="13" t="s">
        <v>224</v>
      </c>
      <c r="C65" s="13" t="s">
        <v>232</v>
      </c>
      <c r="D65" s="19" t="s">
        <v>241</v>
      </c>
      <c r="E65" s="13" t="s">
        <v>79</v>
      </c>
      <c r="F65" s="7">
        <v>44368</v>
      </c>
      <c r="G65" s="2">
        <v>1</v>
      </c>
      <c r="H65" s="2">
        <v>1</v>
      </c>
      <c r="I65" s="217">
        <v>1</v>
      </c>
    </row>
    <row r="66" spans="2:9" ht="21" customHeight="1" x14ac:dyDescent="0.3">
      <c r="B66" s="13" t="s">
        <v>224</v>
      </c>
      <c r="C66" s="13" t="s">
        <v>232</v>
      </c>
      <c r="D66" s="19" t="s">
        <v>241</v>
      </c>
      <c r="E66" s="13" t="s">
        <v>79</v>
      </c>
      <c r="F66" s="7">
        <v>44382</v>
      </c>
      <c r="H66" s="2">
        <v>1</v>
      </c>
      <c r="I66" s="217" t="s">
        <v>254</v>
      </c>
    </row>
    <row r="67" spans="2:9" ht="21" customHeight="1" x14ac:dyDescent="0.3">
      <c r="B67" s="13" t="s">
        <v>224</v>
      </c>
      <c r="C67" s="13" t="s">
        <v>232</v>
      </c>
      <c r="D67" s="19" t="s">
        <v>241</v>
      </c>
      <c r="E67" s="13" t="s">
        <v>79</v>
      </c>
      <c r="F67" s="7">
        <v>44404</v>
      </c>
      <c r="H67" s="2">
        <v>1</v>
      </c>
      <c r="I67" s="217" t="s">
        <v>255</v>
      </c>
    </row>
    <row r="68" spans="2:9" ht="21" customHeight="1" x14ac:dyDescent="0.3">
      <c r="B68" s="13" t="s">
        <v>224</v>
      </c>
      <c r="C68" s="13" t="s">
        <v>232</v>
      </c>
      <c r="D68" s="19" t="s">
        <v>241</v>
      </c>
      <c r="E68" s="13" t="s">
        <v>79</v>
      </c>
      <c r="F68" s="7">
        <v>44405</v>
      </c>
      <c r="H68" s="2">
        <v>1</v>
      </c>
      <c r="I68" s="217" t="s">
        <v>255</v>
      </c>
    </row>
    <row r="69" spans="2:9" ht="21" customHeight="1" x14ac:dyDescent="0.3">
      <c r="B69" s="13" t="s">
        <v>224</v>
      </c>
      <c r="C69" s="13" t="s">
        <v>232</v>
      </c>
      <c r="D69" s="19" t="s">
        <v>241</v>
      </c>
      <c r="E69" s="13" t="s">
        <v>79</v>
      </c>
      <c r="F69" s="7">
        <v>44406</v>
      </c>
      <c r="H69" s="2">
        <v>1</v>
      </c>
      <c r="I69" s="217" t="s">
        <v>255</v>
      </c>
    </row>
    <row r="70" spans="2:9" ht="21" customHeight="1" x14ac:dyDescent="0.3">
      <c r="B70" s="13" t="s">
        <v>224</v>
      </c>
      <c r="C70" s="13" t="s">
        <v>232</v>
      </c>
      <c r="D70" s="19" t="s">
        <v>241</v>
      </c>
      <c r="E70" s="13" t="s">
        <v>79</v>
      </c>
      <c r="F70" s="7">
        <v>44407</v>
      </c>
      <c r="H70" s="2">
        <v>1</v>
      </c>
      <c r="I70" s="217" t="s">
        <v>255</v>
      </c>
    </row>
    <row r="71" spans="2:9" ht="21" customHeight="1" x14ac:dyDescent="0.3">
      <c r="B71" s="13" t="s">
        <v>229</v>
      </c>
      <c r="C71" s="13" t="s">
        <v>232</v>
      </c>
      <c r="D71" s="19" t="s">
        <v>244</v>
      </c>
      <c r="E71" s="13" t="s">
        <v>79</v>
      </c>
      <c r="F71" s="7">
        <v>44371</v>
      </c>
      <c r="H71" s="2">
        <v>1</v>
      </c>
      <c r="I71" s="217" t="s">
        <v>79</v>
      </c>
    </row>
    <row r="72" spans="2:9" ht="21" customHeight="1" x14ac:dyDescent="0.3">
      <c r="B72" s="13" t="s">
        <v>229</v>
      </c>
      <c r="C72" s="13" t="s">
        <v>232</v>
      </c>
      <c r="D72" s="19" t="s">
        <v>244</v>
      </c>
      <c r="E72" s="13" t="s">
        <v>79</v>
      </c>
      <c r="F72" s="7">
        <v>44383</v>
      </c>
      <c r="H72" s="2">
        <v>1</v>
      </c>
      <c r="I72" s="217" t="s">
        <v>79</v>
      </c>
    </row>
    <row r="73" spans="2:9" ht="21" customHeight="1" x14ac:dyDescent="0.3">
      <c r="B73" s="13" t="s">
        <v>229</v>
      </c>
      <c r="C73" s="13" t="s">
        <v>232</v>
      </c>
      <c r="D73" s="19" t="s">
        <v>244</v>
      </c>
      <c r="E73" s="13" t="s">
        <v>79</v>
      </c>
      <c r="F73" s="7">
        <v>44403</v>
      </c>
      <c r="H73" s="2">
        <v>1</v>
      </c>
      <c r="I73" s="217" t="s">
        <v>79</v>
      </c>
    </row>
    <row r="74" spans="2:9" ht="21" customHeight="1" x14ac:dyDescent="0.3">
      <c r="B74" s="13" t="s">
        <v>219</v>
      </c>
      <c r="C74" s="13" t="s">
        <v>233</v>
      </c>
      <c r="D74" s="19" t="s">
        <v>241</v>
      </c>
      <c r="E74" s="13" t="s">
        <v>79</v>
      </c>
      <c r="F74" s="7">
        <v>44225</v>
      </c>
      <c r="H74" s="2">
        <v>1</v>
      </c>
      <c r="I74" s="217"/>
    </row>
    <row r="75" spans="2:9" ht="21" customHeight="1" x14ac:dyDescent="0.3">
      <c r="B75" s="13" t="s">
        <v>219</v>
      </c>
      <c r="C75" s="13" t="s">
        <v>233</v>
      </c>
      <c r="D75" s="19" t="s">
        <v>241</v>
      </c>
      <c r="E75" s="13" t="s">
        <v>79</v>
      </c>
      <c r="F75" s="7">
        <v>44253</v>
      </c>
      <c r="H75" s="2">
        <v>1</v>
      </c>
      <c r="I75" s="217"/>
    </row>
    <row r="76" spans="2:9" ht="21" customHeight="1" x14ac:dyDescent="0.3">
      <c r="B76" s="13" t="s">
        <v>219</v>
      </c>
      <c r="C76" s="13" t="s">
        <v>233</v>
      </c>
      <c r="D76" s="19" t="s">
        <v>241</v>
      </c>
      <c r="E76" s="13" t="s">
        <v>79</v>
      </c>
      <c r="F76" s="7">
        <v>44277</v>
      </c>
      <c r="H76" s="2">
        <v>1</v>
      </c>
      <c r="I76" s="217"/>
    </row>
    <row r="77" spans="2:9" ht="21" customHeight="1" x14ac:dyDescent="0.3">
      <c r="B77" s="13" t="s">
        <v>219</v>
      </c>
      <c r="C77" s="13" t="s">
        <v>233</v>
      </c>
      <c r="D77" s="19" t="s">
        <v>241</v>
      </c>
      <c r="E77" s="13" t="s">
        <v>79</v>
      </c>
      <c r="F77" s="7">
        <v>44302</v>
      </c>
      <c r="H77" s="2">
        <v>1</v>
      </c>
      <c r="I77" s="217"/>
    </row>
    <row r="78" spans="2:9" ht="21" customHeight="1" x14ac:dyDescent="0.3">
      <c r="B78" s="13" t="s">
        <v>219</v>
      </c>
      <c r="C78" s="13" t="s">
        <v>233</v>
      </c>
      <c r="D78" s="19" t="s">
        <v>241</v>
      </c>
      <c r="E78" s="13" t="s">
        <v>79</v>
      </c>
      <c r="F78" s="7">
        <v>44362</v>
      </c>
      <c r="H78" s="2">
        <v>1</v>
      </c>
      <c r="I78" s="217" t="s">
        <v>258</v>
      </c>
    </row>
    <row r="79" spans="2:9" ht="21" customHeight="1" x14ac:dyDescent="0.3">
      <c r="B79" s="13" t="s">
        <v>219</v>
      </c>
      <c r="C79" s="13" t="s">
        <v>233</v>
      </c>
      <c r="D79" s="19" t="s">
        <v>241</v>
      </c>
      <c r="E79" s="13" t="s">
        <v>79</v>
      </c>
      <c r="F79" s="7">
        <v>44392</v>
      </c>
      <c r="H79" s="2">
        <v>1</v>
      </c>
      <c r="I79" s="217"/>
    </row>
    <row r="80" spans="2:9" ht="21" customHeight="1" x14ac:dyDescent="0.3">
      <c r="B80" s="13" t="s">
        <v>227</v>
      </c>
      <c r="C80" s="13" t="s">
        <v>232</v>
      </c>
      <c r="D80" s="19" t="s">
        <v>244</v>
      </c>
      <c r="E80" s="13" t="s">
        <v>79</v>
      </c>
      <c r="F80" s="7">
        <v>44298</v>
      </c>
      <c r="H80" s="2">
        <v>1</v>
      </c>
      <c r="I80" s="217"/>
    </row>
    <row r="81" spans="2:9" ht="21" customHeight="1" x14ac:dyDescent="0.3">
      <c r="B81" s="13" t="s">
        <v>215</v>
      </c>
      <c r="C81" s="13" t="s">
        <v>232</v>
      </c>
      <c r="D81" s="19" t="s">
        <v>239</v>
      </c>
      <c r="E81" s="13" t="s">
        <v>79</v>
      </c>
      <c r="F81" s="7">
        <v>44412</v>
      </c>
      <c r="H81" s="2">
        <v>1</v>
      </c>
      <c r="I81" s="217"/>
    </row>
    <row r="82" spans="2:9" ht="21" customHeight="1" x14ac:dyDescent="0.3">
      <c r="B82" s="13" t="s">
        <v>227</v>
      </c>
      <c r="C82" s="13" t="s">
        <v>232</v>
      </c>
      <c r="D82" s="19" t="s">
        <v>244</v>
      </c>
      <c r="E82" s="13" t="s">
        <v>79</v>
      </c>
      <c r="F82" s="7">
        <v>44410</v>
      </c>
      <c r="H82" s="2">
        <v>1</v>
      </c>
      <c r="I82" s="217" t="s">
        <v>264</v>
      </c>
    </row>
    <row r="83" spans="2:9" ht="21" customHeight="1" x14ac:dyDescent="0.3">
      <c r="B83" s="13" t="s">
        <v>227</v>
      </c>
      <c r="C83" s="13" t="s">
        <v>232</v>
      </c>
      <c r="D83" s="19" t="s">
        <v>244</v>
      </c>
      <c r="E83" s="13" t="s">
        <v>79</v>
      </c>
      <c r="F83" s="7">
        <v>44411</v>
      </c>
      <c r="H83" s="2">
        <v>1</v>
      </c>
      <c r="I83" s="217" t="s">
        <v>264</v>
      </c>
    </row>
    <row r="84" spans="2:9" ht="21" customHeight="1" x14ac:dyDescent="0.3">
      <c r="B84" s="13" t="s">
        <v>227</v>
      </c>
      <c r="C84" s="13" t="s">
        <v>232</v>
      </c>
      <c r="D84" s="19" t="s">
        <v>244</v>
      </c>
      <c r="E84" s="13" t="s">
        <v>79</v>
      </c>
      <c r="F84" s="7">
        <v>44412</v>
      </c>
      <c r="H84" s="2">
        <v>1</v>
      </c>
      <c r="I84" s="217" t="s">
        <v>264</v>
      </c>
    </row>
    <row r="85" spans="2:9" ht="21" customHeight="1" x14ac:dyDescent="0.3">
      <c r="B85" s="13" t="s">
        <v>227</v>
      </c>
      <c r="C85" s="13" t="s">
        <v>232</v>
      </c>
      <c r="D85" s="19" t="s">
        <v>244</v>
      </c>
      <c r="E85" s="13" t="s">
        <v>79</v>
      </c>
      <c r="F85" s="7">
        <v>44413</v>
      </c>
      <c r="H85" s="2">
        <v>1</v>
      </c>
      <c r="I85" s="217" t="s">
        <v>264</v>
      </c>
    </row>
    <row r="86" spans="2:9" ht="21" customHeight="1" x14ac:dyDescent="0.3">
      <c r="B86" s="13" t="s">
        <v>229</v>
      </c>
      <c r="C86" s="13" t="s">
        <v>232</v>
      </c>
      <c r="D86" s="19" t="s">
        <v>244</v>
      </c>
      <c r="E86" s="13" t="s">
        <v>79</v>
      </c>
      <c r="F86" s="7">
        <v>44417</v>
      </c>
      <c r="H86" s="2">
        <v>1</v>
      </c>
      <c r="I86" s="217"/>
    </row>
    <row r="87" spans="2:9" ht="21" customHeight="1" x14ac:dyDescent="0.3">
      <c r="B87" s="13" t="s">
        <v>229</v>
      </c>
      <c r="C87" s="13" t="s">
        <v>232</v>
      </c>
      <c r="D87" s="19" t="s">
        <v>244</v>
      </c>
      <c r="E87" s="13" t="s">
        <v>79</v>
      </c>
      <c r="F87" s="7">
        <v>44418</v>
      </c>
      <c r="H87" s="2">
        <v>1</v>
      </c>
      <c r="I87" s="217"/>
    </row>
    <row r="88" spans="2:9" ht="21" customHeight="1" x14ac:dyDescent="0.3">
      <c r="B88" s="13" t="s">
        <v>229</v>
      </c>
      <c r="C88" s="13" t="s">
        <v>232</v>
      </c>
      <c r="D88" s="19" t="s">
        <v>244</v>
      </c>
      <c r="E88" s="13" t="s">
        <v>79</v>
      </c>
      <c r="F88" s="7">
        <v>44419</v>
      </c>
      <c r="H88" s="2">
        <v>1</v>
      </c>
      <c r="I88" s="217"/>
    </row>
    <row r="89" spans="2:9" ht="21" customHeight="1" x14ac:dyDescent="0.3">
      <c r="B89" s="13" t="s">
        <v>216</v>
      </c>
      <c r="C89" s="13" t="s">
        <v>233</v>
      </c>
      <c r="D89" s="19" t="s">
        <v>240</v>
      </c>
      <c r="E89" s="13" t="s">
        <v>79</v>
      </c>
      <c r="F89" s="7">
        <v>44411</v>
      </c>
      <c r="H89" s="2">
        <v>1</v>
      </c>
      <c r="I89" s="217" t="s">
        <v>264</v>
      </c>
    </row>
    <row r="90" spans="2:9" ht="21" customHeight="1" x14ac:dyDescent="0.3">
      <c r="B90" s="13" t="s">
        <v>216</v>
      </c>
      <c r="C90" s="13" t="s">
        <v>233</v>
      </c>
      <c r="D90" s="19" t="s">
        <v>240</v>
      </c>
      <c r="E90" s="13" t="s">
        <v>79</v>
      </c>
      <c r="F90" s="7">
        <v>44412</v>
      </c>
      <c r="H90" s="2">
        <v>1</v>
      </c>
      <c r="I90" s="217" t="s">
        <v>264</v>
      </c>
    </row>
    <row r="91" spans="2:9" ht="21" customHeight="1" x14ac:dyDescent="0.3">
      <c r="B91" s="13" t="s">
        <v>216</v>
      </c>
      <c r="C91" s="13" t="s">
        <v>233</v>
      </c>
      <c r="D91" s="19" t="s">
        <v>240</v>
      </c>
      <c r="E91" s="13" t="s">
        <v>79</v>
      </c>
      <c r="F91" s="7">
        <v>44413</v>
      </c>
      <c r="H91" s="2">
        <v>1</v>
      </c>
      <c r="I91" s="217" t="s">
        <v>264</v>
      </c>
    </row>
    <row r="92" spans="2:9" ht="21" customHeight="1" x14ac:dyDescent="0.3">
      <c r="B92" s="13" t="s">
        <v>216</v>
      </c>
      <c r="C92" s="13" t="s">
        <v>233</v>
      </c>
      <c r="D92" s="19" t="s">
        <v>240</v>
      </c>
      <c r="E92" s="13" t="s">
        <v>79</v>
      </c>
      <c r="F92" s="7">
        <v>44414</v>
      </c>
      <c r="H92" s="2">
        <v>1</v>
      </c>
      <c r="I92" s="217" t="s">
        <v>264</v>
      </c>
    </row>
    <row r="93" spans="2:9" ht="21" customHeight="1" x14ac:dyDescent="0.3">
      <c r="B93" s="13" t="s">
        <v>219</v>
      </c>
      <c r="C93" s="13" t="s">
        <v>233</v>
      </c>
      <c r="D93" s="19" t="s">
        <v>241</v>
      </c>
      <c r="E93" s="13" t="s">
        <v>79</v>
      </c>
      <c r="F93" s="7">
        <v>44418</v>
      </c>
      <c r="H93" s="2">
        <v>1</v>
      </c>
      <c r="I93" s="217" t="s">
        <v>264</v>
      </c>
    </row>
    <row r="94" spans="2:9" ht="21" customHeight="1" x14ac:dyDescent="0.3">
      <c r="B94" s="13" t="s">
        <v>219</v>
      </c>
      <c r="C94" s="13" t="s">
        <v>233</v>
      </c>
      <c r="D94" s="19" t="s">
        <v>241</v>
      </c>
      <c r="E94" s="13" t="s">
        <v>79</v>
      </c>
      <c r="F94" s="7">
        <v>44419</v>
      </c>
      <c r="H94" s="2">
        <v>1</v>
      </c>
      <c r="I94" s="217" t="s">
        <v>264</v>
      </c>
    </row>
    <row r="95" spans="2:9" ht="21" customHeight="1" x14ac:dyDescent="0.3">
      <c r="B95" s="13" t="s">
        <v>219</v>
      </c>
      <c r="C95" s="13" t="s">
        <v>233</v>
      </c>
      <c r="D95" s="19" t="s">
        <v>241</v>
      </c>
      <c r="E95" s="13" t="s">
        <v>79</v>
      </c>
      <c r="F95" s="7">
        <v>44420</v>
      </c>
      <c r="H95" s="2">
        <v>1</v>
      </c>
      <c r="I95" s="217" t="s">
        <v>264</v>
      </c>
    </row>
    <row r="96" spans="2:9" ht="21" customHeight="1" x14ac:dyDescent="0.3">
      <c r="B96" s="13" t="s">
        <v>219</v>
      </c>
      <c r="C96" s="13" t="s">
        <v>233</v>
      </c>
      <c r="D96" s="19" t="s">
        <v>241</v>
      </c>
      <c r="E96" s="13" t="s">
        <v>79</v>
      </c>
      <c r="F96" s="7">
        <v>44421</v>
      </c>
      <c r="H96" s="2">
        <v>1</v>
      </c>
      <c r="I96" s="217" t="s">
        <v>264</v>
      </c>
    </row>
    <row r="97" spans="2:9" ht="21" customHeight="1" x14ac:dyDescent="0.3">
      <c r="B97" s="13" t="s">
        <v>228</v>
      </c>
      <c r="C97" s="13" t="s">
        <v>238</v>
      </c>
      <c r="D97" s="19" t="s">
        <v>246</v>
      </c>
      <c r="E97" s="13" t="s">
        <v>79</v>
      </c>
      <c r="F97" s="7">
        <v>44425</v>
      </c>
      <c r="H97" s="2">
        <v>1</v>
      </c>
      <c r="I97" s="217" t="s">
        <v>264</v>
      </c>
    </row>
    <row r="98" spans="2:9" ht="21" customHeight="1" x14ac:dyDescent="0.3">
      <c r="B98" s="13" t="s">
        <v>228</v>
      </c>
      <c r="C98" s="13" t="s">
        <v>238</v>
      </c>
      <c r="D98" s="19" t="s">
        <v>246</v>
      </c>
      <c r="E98" s="13" t="s">
        <v>79</v>
      </c>
      <c r="F98" s="7">
        <v>44426</v>
      </c>
      <c r="H98" s="2">
        <v>1</v>
      </c>
      <c r="I98" s="217" t="s">
        <v>264</v>
      </c>
    </row>
    <row r="99" spans="2:9" ht="21" customHeight="1" x14ac:dyDescent="0.3">
      <c r="B99" s="13" t="s">
        <v>228</v>
      </c>
      <c r="C99" s="13" t="s">
        <v>238</v>
      </c>
      <c r="D99" s="19" t="s">
        <v>246</v>
      </c>
      <c r="E99" s="13" t="s">
        <v>79</v>
      </c>
      <c r="F99" s="7">
        <v>44427</v>
      </c>
      <c r="H99" s="2">
        <v>1</v>
      </c>
      <c r="I99" s="217" t="s">
        <v>264</v>
      </c>
    </row>
    <row r="100" spans="2:9" ht="21" customHeight="1" x14ac:dyDescent="0.3">
      <c r="B100" s="13" t="s">
        <v>228</v>
      </c>
      <c r="C100" s="13" t="s">
        <v>238</v>
      </c>
      <c r="D100" s="19" t="s">
        <v>246</v>
      </c>
      <c r="E100" s="13" t="s">
        <v>79</v>
      </c>
      <c r="F100" s="7">
        <v>44428</v>
      </c>
      <c r="H100" s="2">
        <v>1</v>
      </c>
      <c r="I100" s="217" t="s">
        <v>264</v>
      </c>
    </row>
    <row r="101" spans="2:9" ht="21" customHeight="1" x14ac:dyDescent="0.3">
      <c r="B101" s="13" t="s">
        <v>220</v>
      </c>
      <c r="C101" s="13" t="s">
        <v>235</v>
      </c>
      <c r="D101" s="19" t="s">
        <v>241</v>
      </c>
      <c r="E101" s="13" t="s">
        <v>79</v>
      </c>
      <c r="F101" s="7">
        <v>44419</v>
      </c>
      <c r="H101" s="2">
        <v>1</v>
      </c>
      <c r="I101" s="217" t="s">
        <v>264</v>
      </c>
    </row>
    <row r="102" spans="2:9" ht="21" customHeight="1" x14ac:dyDescent="0.3">
      <c r="B102" s="13" t="s">
        <v>220</v>
      </c>
      <c r="C102" s="13" t="s">
        <v>235</v>
      </c>
      <c r="D102" s="19" t="s">
        <v>241</v>
      </c>
      <c r="E102" s="13" t="s">
        <v>79</v>
      </c>
      <c r="F102" s="7">
        <v>44420</v>
      </c>
      <c r="H102" s="2">
        <v>1</v>
      </c>
      <c r="I102" s="217" t="s">
        <v>264</v>
      </c>
    </row>
    <row r="103" spans="2:9" ht="21" customHeight="1" x14ac:dyDescent="0.3">
      <c r="B103" s="13" t="s">
        <v>220</v>
      </c>
      <c r="C103" s="13" t="s">
        <v>235</v>
      </c>
      <c r="D103" s="19" t="s">
        <v>241</v>
      </c>
      <c r="E103" s="13" t="s">
        <v>79</v>
      </c>
      <c r="F103" s="7">
        <v>44421</v>
      </c>
      <c r="H103" s="2">
        <v>1</v>
      </c>
      <c r="I103" s="217" t="s">
        <v>264</v>
      </c>
    </row>
    <row r="104" spans="2:9" ht="21" customHeight="1" x14ac:dyDescent="0.3">
      <c r="B104" s="13" t="s">
        <v>220</v>
      </c>
      <c r="C104" s="13" t="s">
        <v>235</v>
      </c>
      <c r="D104" s="19" t="s">
        <v>241</v>
      </c>
      <c r="E104" s="13" t="s">
        <v>79</v>
      </c>
      <c r="F104" s="7">
        <v>44428</v>
      </c>
      <c r="H104" s="2">
        <v>1</v>
      </c>
      <c r="I104" s="217"/>
    </row>
    <row r="105" spans="2:9" ht="21" customHeight="1" x14ac:dyDescent="0.3">
      <c r="B105" s="13" t="s">
        <v>222</v>
      </c>
      <c r="C105" s="13" t="s">
        <v>235</v>
      </c>
      <c r="D105" s="19" t="s">
        <v>243</v>
      </c>
      <c r="E105" s="13" t="s">
        <v>79</v>
      </c>
      <c r="F105" s="7">
        <v>44425</v>
      </c>
      <c r="H105" s="2">
        <v>1</v>
      </c>
      <c r="I105" s="217"/>
    </row>
    <row r="106" spans="2:9" ht="21" customHeight="1" x14ac:dyDescent="0.3">
      <c r="B106" s="13" t="s">
        <v>222</v>
      </c>
      <c r="C106" s="13" t="s">
        <v>235</v>
      </c>
      <c r="D106" s="19" t="s">
        <v>243</v>
      </c>
      <c r="E106" s="13" t="s">
        <v>79</v>
      </c>
      <c r="F106" s="7">
        <v>44431</v>
      </c>
      <c r="H106" s="2">
        <v>1</v>
      </c>
      <c r="I106" s="217"/>
    </row>
    <row r="107" spans="2:9" ht="21" customHeight="1" x14ac:dyDescent="0.3">
      <c r="B107" s="13" t="s">
        <v>260</v>
      </c>
      <c r="C107" s="13" t="s">
        <v>235</v>
      </c>
      <c r="D107" s="19" t="s">
        <v>244</v>
      </c>
      <c r="E107" s="13" t="s">
        <v>79</v>
      </c>
      <c r="F107" s="7">
        <v>44411</v>
      </c>
      <c r="H107" s="2">
        <v>1</v>
      </c>
      <c r="I107" s="217" t="s">
        <v>264</v>
      </c>
    </row>
    <row r="108" spans="2:9" ht="21" customHeight="1" x14ac:dyDescent="0.3">
      <c r="B108" s="13" t="s">
        <v>260</v>
      </c>
      <c r="C108" s="13" t="s">
        <v>235</v>
      </c>
      <c r="D108" s="19" t="s">
        <v>244</v>
      </c>
      <c r="E108" s="13" t="s">
        <v>79</v>
      </c>
      <c r="F108" s="7">
        <v>44412</v>
      </c>
      <c r="H108" s="2">
        <v>1</v>
      </c>
      <c r="I108" s="217" t="s">
        <v>264</v>
      </c>
    </row>
    <row r="109" spans="2:9" ht="21" customHeight="1" x14ac:dyDescent="0.3">
      <c r="B109" s="13" t="s">
        <v>260</v>
      </c>
      <c r="C109" s="13" t="s">
        <v>235</v>
      </c>
      <c r="D109" s="19" t="s">
        <v>244</v>
      </c>
      <c r="E109" s="13" t="s">
        <v>79</v>
      </c>
      <c r="F109" s="7">
        <v>44413</v>
      </c>
      <c r="H109" s="2">
        <v>1</v>
      </c>
      <c r="I109" s="217" t="s">
        <v>264</v>
      </c>
    </row>
    <row r="110" spans="2:9" ht="21" customHeight="1" x14ac:dyDescent="0.3">
      <c r="B110" s="13" t="s">
        <v>260</v>
      </c>
      <c r="C110" s="13" t="s">
        <v>235</v>
      </c>
      <c r="D110" s="19" t="s">
        <v>244</v>
      </c>
      <c r="E110" s="13" t="s">
        <v>79</v>
      </c>
      <c r="F110" s="7">
        <v>44414</v>
      </c>
      <c r="H110" s="2">
        <v>1</v>
      </c>
      <c r="I110" s="217" t="s">
        <v>264</v>
      </c>
    </row>
    <row r="111" spans="2:9" ht="21" customHeight="1" x14ac:dyDescent="0.3">
      <c r="B111" s="13" t="s">
        <v>231</v>
      </c>
      <c r="C111" s="13" t="s">
        <v>235</v>
      </c>
      <c r="D111" s="19" t="s">
        <v>246</v>
      </c>
      <c r="E111" s="13" t="s">
        <v>79</v>
      </c>
      <c r="F111" s="7">
        <v>44425</v>
      </c>
      <c r="H111" s="2">
        <v>1</v>
      </c>
      <c r="I111" s="217" t="s">
        <v>264</v>
      </c>
    </row>
    <row r="112" spans="2:9" ht="21" customHeight="1" x14ac:dyDescent="0.3">
      <c r="B112" s="13" t="s">
        <v>231</v>
      </c>
      <c r="C112" s="13" t="s">
        <v>235</v>
      </c>
      <c r="D112" s="19" t="s">
        <v>246</v>
      </c>
      <c r="E112" s="13" t="s">
        <v>79</v>
      </c>
      <c r="F112" s="7">
        <v>44426</v>
      </c>
      <c r="H112" s="2">
        <v>1</v>
      </c>
      <c r="I112" s="217" t="s">
        <v>264</v>
      </c>
    </row>
    <row r="113" spans="2:10" ht="21" customHeight="1" x14ac:dyDescent="0.3">
      <c r="B113" s="13" t="s">
        <v>231</v>
      </c>
      <c r="C113" s="13" t="s">
        <v>235</v>
      </c>
      <c r="D113" s="19" t="s">
        <v>246</v>
      </c>
      <c r="E113" s="13" t="s">
        <v>79</v>
      </c>
      <c r="F113" s="7">
        <v>44427</v>
      </c>
      <c r="H113" s="2">
        <v>1</v>
      </c>
      <c r="I113" s="217" t="s">
        <v>264</v>
      </c>
    </row>
    <row r="114" spans="2:10" ht="21" customHeight="1" x14ac:dyDescent="0.3">
      <c r="B114" s="13" t="s">
        <v>310</v>
      </c>
      <c r="C114" s="13" t="s">
        <v>232</v>
      </c>
      <c r="D114" s="19" t="s">
        <v>240</v>
      </c>
      <c r="E114" s="13" t="s">
        <v>79</v>
      </c>
      <c r="F114" s="7">
        <v>44445</v>
      </c>
      <c r="H114" s="2">
        <v>1</v>
      </c>
      <c r="I114" s="217" t="s">
        <v>79</v>
      </c>
    </row>
    <row r="115" spans="2:10" ht="21" customHeight="1" x14ac:dyDescent="0.3">
      <c r="B115" s="13" t="s">
        <v>310</v>
      </c>
      <c r="C115" s="13" t="s">
        <v>232</v>
      </c>
      <c r="D115" s="19" t="s">
        <v>240</v>
      </c>
      <c r="E115" s="13" t="s">
        <v>79</v>
      </c>
      <c r="F115" s="7">
        <v>44452</v>
      </c>
      <c r="H115" s="2">
        <v>1</v>
      </c>
      <c r="I115" s="217" t="s">
        <v>252</v>
      </c>
    </row>
    <row r="116" spans="2:10" ht="21" customHeight="1" x14ac:dyDescent="0.3">
      <c r="B116" s="13" t="s">
        <v>224</v>
      </c>
      <c r="C116" s="13" t="s">
        <v>232</v>
      </c>
      <c r="D116" s="19" t="s">
        <v>241</v>
      </c>
      <c r="E116" s="13" t="s">
        <v>79</v>
      </c>
      <c r="F116" s="7">
        <v>44466</v>
      </c>
      <c r="H116" s="2">
        <v>1</v>
      </c>
      <c r="I116" s="217" t="s">
        <v>79</v>
      </c>
    </row>
    <row r="117" spans="2:10" ht="21" customHeight="1" x14ac:dyDescent="0.3">
      <c r="B117" s="13" t="s">
        <v>229</v>
      </c>
      <c r="C117" s="13" t="s">
        <v>232</v>
      </c>
      <c r="D117" s="19" t="s">
        <v>244</v>
      </c>
      <c r="E117" s="13" t="s">
        <v>79</v>
      </c>
      <c r="F117" s="7">
        <v>44453</v>
      </c>
      <c r="H117" s="2">
        <v>1</v>
      </c>
      <c r="I117" s="217" t="s">
        <v>79</v>
      </c>
    </row>
    <row r="118" spans="2:10" ht="21" customHeight="1" x14ac:dyDescent="0.3">
      <c r="B118" s="13" t="s">
        <v>216</v>
      </c>
      <c r="C118" s="13" t="s">
        <v>233</v>
      </c>
      <c r="D118" s="19" t="s">
        <v>240</v>
      </c>
      <c r="E118" s="13" t="s">
        <v>79</v>
      </c>
      <c r="F118" s="7">
        <v>44456</v>
      </c>
      <c r="H118" s="2">
        <v>1</v>
      </c>
      <c r="I118" s="217" t="s">
        <v>79</v>
      </c>
    </row>
    <row r="119" spans="2:10" ht="21" customHeight="1" x14ac:dyDescent="0.3">
      <c r="B119" s="13" t="s">
        <v>228</v>
      </c>
      <c r="C119" s="13" t="s">
        <v>238</v>
      </c>
      <c r="D119" s="19" t="s">
        <v>246</v>
      </c>
      <c r="E119" s="13" t="s">
        <v>79</v>
      </c>
      <c r="F119" s="7">
        <v>44456</v>
      </c>
      <c r="H119" s="2">
        <v>1</v>
      </c>
      <c r="I119" s="217"/>
    </row>
    <row r="120" spans="2:10" ht="21" customHeight="1" x14ac:dyDescent="0.3">
      <c r="B120" s="13" t="s">
        <v>220</v>
      </c>
      <c r="C120" s="13" t="s">
        <v>235</v>
      </c>
      <c r="D120" s="19" t="s">
        <v>241</v>
      </c>
      <c r="E120" s="13" t="s">
        <v>79</v>
      </c>
      <c r="F120" s="7">
        <v>44463</v>
      </c>
      <c r="H120" s="2">
        <v>1</v>
      </c>
      <c r="I120" s="217" t="s">
        <v>79</v>
      </c>
    </row>
    <row r="121" spans="2:10" ht="21" customHeight="1" x14ac:dyDescent="0.3">
      <c r="B121" s="13" t="s">
        <v>220</v>
      </c>
      <c r="C121" s="13" t="s">
        <v>235</v>
      </c>
      <c r="D121" s="19" t="s">
        <v>241</v>
      </c>
      <c r="E121" s="13" t="s">
        <v>79</v>
      </c>
      <c r="F121" s="7">
        <v>44462</v>
      </c>
      <c r="H121" s="2">
        <v>1</v>
      </c>
      <c r="I121" s="217" t="s">
        <v>79</v>
      </c>
    </row>
    <row r="122" spans="2:10" ht="21" customHeight="1" x14ac:dyDescent="0.3">
      <c r="B122" s="13" t="s">
        <v>260</v>
      </c>
      <c r="C122" s="13" t="s">
        <v>235</v>
      </c>
      <c r="D122" s="19" t="s">
        <v>244</v>
      </c>
      <c r="E122" s="13" t="s">
        <v>79</v>
      </c>
      <c r="F122" s="7">
        <v>44449</v>
      </c>
      <c r="H122" s="2">
        <v>1</v>
      </c>
      <c r="I122" s="217" t="s">
        <v>271</v>
      </c>
    </row>
    <row r="123" spans="2:10" ht="21" customHeight="1" x14ac:dyDescent="0.3">
      <c r="B123" s="13" t="s">
        <v>222</v>
      </c>
      <c r="C123" s="13" t="s">
        <v>235</v>
      </c>
      <c r="D123" s="19" t="s">
        <v>243</v>
      </c>
      <c r="E123" s="13" t="s">
        <v>81</v>
      </c>
      <c r="F123" s="7">
        <v>44454</v>
      </c>
      <c r="H123" s="2">
        <v>0.5</v>
      </c>
      <c r="I123" s="217"/>
    </row>
    <row r="124" spans="2:10" ht="21" customHeight="1" x14ac:dyDescent="0.3">
      <c r="B124" s="13" t="s">
        <v>222</v>
      </c>
      <c r="C124" s="13" t="s">
        <v>235</v>
      </c>
      <c r="D124" s="19" t="s">
        <v>243</v>
      </c>
      <c r="E124" s="13" t="s">
        <v>81</v>
      </c>
      <c r="F124" s="7">
        <v>44466</v>
      </c>
      <c r="H124" s="2">
        <v>0.5</v>
      </c>
      <c r="I124" s="217"/>
    </row>
    <row r="125" spans="2:10" ht="21" customHeight="1" x14ac:dyDescent="0.3">
      <c r="B125" s="13" t="s">
        <v>222</v>
      </c>
      <c r="C125" s="13" t="s">
        <v>235</v>
      </c>
      <c r="D125" s="19" t="s">
        <v>243</v>
      </c>
      <c r="E125" s="13" t="s">
        <v>79</v>
      </c>
      <c r="F125" s="7">
        <v>44442</v>
      </c>
      <c r="H125" s="2">
        <v>1</v>
      </c>
      <c r="I125" s="217" t="s">
        <v>79</v>
      </c>
    </row>
    <row r="126" spans="2:10" ht="21" customHeight="1" x14ac:dyDescent="0.3">
      <c r="B126" s="13" t="s">
        <v>231</v>
      </c>
      <c r="C126" s="13" t="s">
        <v>235</v>
      </c>
      <c r="D126" s="19" t="s">
        <v>246</v>
      </c>
      <c r="E126" s="13" t="s">
        <v>79</v>
      </c>
      <c r="F126" s="7">
        <v>44456</v>
      </c>
      <c r="H126" s="2">
        <v>1</v>
      </c>
      <c r="I126" s="217"/>
    </row>
    <row r="127" spans="2:10" ht="21" customHeight="1" x14ac:dyDescent="0.3">
      <c r="B127" s="13" t="s">
        <v>265</v>
      </c>
      <c r="C127" s="13" t="s">
        <v>235</v>
      </c>
      <c r="D127" s="19" t="s">
        <v>246</v>
      </c>
      <c r="E127" s="13" t="s">
        <v>79</v>
      </c>
      <c r="F127" s="7">
        <v>44446</v>
      </c>
      <c r="H127" s="2">
        <v>1</v>
      </c>
      <c r="I127" s="217" t="s">
        <v>272</v>
      </c>
      <c r="J127" s="16" t="s">
        <v>273</v>
      </c>
    </row>
    <row r="128" spans="2:10" ht="21" customHeight="1" x14ac:dyDescent="0.3">
      <c r="B128" s="13" t="s">
        <v>265</v>
      </c>
      <c r="C128" s="13" t="s">
        <v>235</v>
      </c>
      <c r="D128" s="19" t="s">
        <v>246</v>
      </c>
      <c r="E128" s="13" t="s">
        <v>79</v>
      </c>
      <c r="F128" s="7">
        <v>44447</v>
      </c>
      <c r="H128" s="2">
        <v>1</v>
      </c>
      <c r="I128" s="217" t="s">
        <v>272</v>
      </c>
      <c r="J128" s="16" t="s">
        <v>273</v>
      </c>
    </row>
    <row r="129" spans="2:10" ht="21" customHeight="1" x14ac:dyDescent="0.3">
      <c r="B129" s="13" t="s">
        <v>265</v>
      </c>
      <c r="C129" s="13" t="s">
        <v>235</v>
      </c>
      <c r="D129" s="19" t="s">
        <v>246</v>
      </c>
      <c r="E129" s="13" t="s">
        <v>79</v>
      </c>
      <c r="F129" s="7">
        <v>44448</v>
      </c>
      <c r="H129" s="2">
        <v>1</v>
      </c>
      <c r="I129" s="217" t="s">
        <v>79</v>
      </c>
    </row>
    <row r="130" spans="2:10" ht="21" customHeight="1" x14ac:dyDescent="0.3">
      <c r="B130" s="13" t="s">
        <v>267</v>
      </c>
      <c r="C130" s="13" t="s">
        <v>232</v>
      </c>
      <c r="D130" s="19" t="s">
        <v>241</v>
      </c>
      <c r="E130" s="13" t="s">
        <v>79</v>
      </c>
      <c r="F130" s="7">
        <v>44467</v>
      </c>
      <c r="H130" s="2">
        <v>1</v>
      </c>
      <c r="I130" s="217"/>
    </row>
    <row r="131" spans="2:10" ht="21" customHeight="1" x14ac:dyDescent="0.3">
      <c r="B131" s="13" t="s">
        <v>215</v>
      </c>
      <c r="C131" s="13" t="s">
        <v>232</v>
      </c>
      <c r="D131" s="19" t="s">
        <v>239</v>
      </c>
      <c r="E131" s="13" t="s">
        <v>79</v>
      </c>
      <c r="F131" s="7">
        <v>44480</v>
      </c>
      <c r="H131" s="2">
        <v>1</v>
      </c>
      <c r="I131" s="217" t="s">
        <v>279</v>
      </c>
    </row>
    <row r="132" spans="2:10" ht="21" customHeight="1" x14ac:dyDescent="0.3">
      <c r="B132" s="13" t="s">
        <v>310</v>
      </c>
      <c r="C132" s="13" t="s">
        <v>232</v>
      </c>
      <c r="D132" s="19" t="s">
        <v>240</v>
      </c>
      <c r="E132" s="13" t="s">
        <v>79</v>
      </c>
      <c r="F132" s="7">
        <v>44480</v>
      </c>
      <c r="H132" s="2">
        <v>1</v>
      </c>
      <c r="I132" s="217" t="s">
        <v>279</v>
      </c>
    </row>
    <row r="133" spans="2:10" ht="21" customHeight="1" x14ac:dyDescent="0.3">
      <c r="B133" s="13" t="s">
        <v>310</v>
      </c>
      <c r="C133" s="13" t="s">
        <v>232</v>
      </c>
      <c r="D133" s="19" t="s">
        <v>240</v>
      </c>
      <c r="E133" s="13" t="s">
        <v>79</v>
      </c>
      <c r="F133" s="7">
        <v>44487</v>
      </c>
      <c r="H133" s="2">
        <v>1</v>
      </c>
      <c r="I133" s="217" t="s">
        <v>258</v>
      </c>
    </row>
    <row r="134" spans="2:10" ht="21" customHeight="1" x14ac:dyDescent="0.3">
      <c r="B134" s="13" t="s">
        <v>224</v>
      </c>
      <c r="C134" s="13" t="s">
        <v>232</v>
      </c>
      <c r="D134" s="19" t="s">
        <v>241</v>
      </c>
      <c r="E134" s="13" t="s">
        <v>79</v>
      </c>
      <c r="F134" s="7">
        <v>44473</v>
      </c>
      <c r="H134" s="2">
        <v>1</v>
      </c>
      <c r="I134" s="217" t="s">
        <v>279</v>
      </c>
    </row>
    <row r="135" spans="2:10" ht="21" customHeight="1" x14ac:dyDescent="0.3">
      <c r="B135" s="13" t="s">
        <v>224</v>
      </c>
      <c r="C135" s="13" t="s">
        <v>232</v>
      </c>
      <c r="D135" s="19" t="s">
        <v>241</v>
      </c>
      <c r="E135" s="13" t="s">
        <v>79</v>
      </c>
      <c r="F135" s="7">
        <v>44494</v>
      </c>
      <c r="H135" s="2">
        <v>1</v>
      </c>
      <c r="I135" s="217" t="s">
        <v>258</v>
      </c>
    </row>
    <row r="136" spans="2:10" ht="21" customHeight="1" x14ac:dyDescent="0.3">
      <c r="B136" s="13" t="s">
        <v>229</v>
      </c>
      <c r="C136" s="13" t="s">
        <v>232</v>
      </c>
      <c r="D136" s="19" t="s">
        <v>244</v>
      </c>
      <c r="E136" s="13" t="s">
        <v>79</v>
      </c>
      <c r="F136" s="7">
        <v>44470</v>
      </c>
      <c r="H136" s="2">
        <v>1</v>
      </c>
      <c r="I136" s="217" t="s">
        <v>258</v>
      </c>
      <c r="J136" s="16" t="s">
        <v>280</v>
      </c>
    </row>
    <row r="137" spans="2:10" ht="21" customHeight="1" x14ac:dyDescent="0.3">
      <c r="B137" s="13" t="s">
        <v>229</v>
      </c>
      <c r="C137" s="13" t="s">
        <v>232</v>
      </c>
      <c r="D137" s="19" t="s">
        <v>244</v>
      </c>
      <c r="E137" s="13" t="s">
        <v>79</v>
      </c>
      <c r="F137" s="7">
        <v>44473</v>
      </c>
      <c r="H137" s="2">
        <v>1</v>
      </c>
      <c r="I137" s="217" t="s">
        <v>279</v>
      </c>
    </row>
    <row r="138" spans="2:10" ht="21" customHeight="1" x14ac:dyDescent="0.3">
      <c r="B138" s="13" t="s">
        <v>229</v>
      </c>
      <c r="C138" s="13" t="s">
        <v>232</v>
      </c>
      <c r="D138" s="19" t="s">
        <v>244</v>
      </c>
      <c r="E138" s="13" t="s">
        <v>79</v>
      </c>
      <c r="F138" s="7">
        <v>44474</v>
      </c>
      <c r="H138" s="2">
        <v>1</v>
      </c>
      <c r="I138" s="217" t="s">
        <v>258</v>
      </c>
      <c r="J138" s="16" t="s">
        <v>280</v>
      </c>
    </row>
    <row r="139" spans="2:10" ht="21" customHeight="1" x14ac:dyDescent="0.3">
      <c r="B139" s="13" t="s">
        <v>229</v>
      </c>
      <c r="C139" s="13" t="s">
        <v>232</v>
      </c>
      <c r="D139" s="19" t="s">
        <v>244</v>
      </c>
      <c r="E139" s="13" t="s">
        <v>79</v>
      </c>
      <c r="F139" s="7">
        <v>44484</v>
      </c>
      <c r="H139" s="2">
        <v>1</v>
      </c>
      <c r="I139" s="217" t="s">
        <v>258</v>
      </c>
    </row>
    <row r="140" spans="2:10" ht="21" customHeight="1" x14ac:dyDescent="0.3">
      <c r="B140" s="13" t="s">
        <v>267</v>
      </c>
      <c r="C140" s="13" t="s">
        <v>232</v>
      </c>
      <c r="D140" s="19" t="s">
        <v>241</v>
      </c>
      <c r="E140" s="13" t="s">
        <v>79</v>
      </c>
      <c r="F140" s="7">
        <v>44473</v>
      </c>
      <c r="H140" s="2">
        <v>1</v>
      </c>
      <c r="I140" s="217" t="s">
        <v>279</v>
      </c>
    </row>
    <row r="141" spans="2:10" ht="21" customHeight="1" x14ac:dyDescent="0.3">
      <c r="B141" s="13" t="s">
        <v>267</v>
      </c>
      <c r="C141" s="13" t="s">
        <v>232</v>
      </c>
      <c r="D141" s="19" t="s">
        <v>241</v>
      </c>
      <c r="E141" s="13" t="s">
        <v>79</v>
      </c>
      <c r="F141" s="7">
        <v>44477</v>
      </c>
      <c r="H141" s="2">
        <v>1</v>
      </c>
      <c r="I141" s="217" t="s">
        <v>258</v>
      </c>
    </row>
    <row r="142" spans="2:10" ht="21" customHeight="1" x14ac:dyDescent="0.3">
      <c r="B142" s="13" t="s">
        <v>277</v>
      </c>
      <c r="C142" s="13" t="s">
        <v>232</v>
      </c>
      <c r="D142" s="19" t="s">
        <v>246</v>
      </c>
      <c r="E142" s="13" t="s">
        <v>79</v>
      </c>
      <c r="F142" s="7">
        <v>44480</v>
      </c>
      <c r="H142" s="2">
        <v>1</v>
      </c>
      <c r="I142" s="217" t="s">
        <v>279</v>
      </c>
    </row>
    <row r="143" spans="2:10" ht="21" customHeight="1" x14ac:dyDescent="0.3">
      <c r="B143" s="13" t="s">
        <v>277</v>
      </c>
      <c r="C143" s="13" t="s">
        <v>232</v>
      </c>
      <c r="D143" s="19" t="s">
        <v>246</v>
      </c>
      <c r="E143" s="13" t="s">
        <v>79</v>
      </c>
      <c r="F143" s="7">
        <v>44498</v>
      </c>
      <c r="H143" s="2">
        <v>1</v>
      </c>
      <c r="I143" s="217" t="s">
        <v>258</v>
      </c>
    </row>
    <row r="144" spans="2:10" ht="21" customHeight="1" x14ac:dyDescent="0.3">
      <c r="B144" s="13" t="s">
        <v>216</v>
      </c>
      <c r="C144" s="13" t="s">
        <v>233</v>
      </c>
      <c r="D144" s="19" t="s">
        <v>240</v>
      </c>
      <c r="E144" s="13" t="s">
        <v>79</v>
      </c>
      <c r="F144" s="7">
        <v>44473</v>
      </c>
      <c r="H144" s="2">
        <v>1</v>
      </c>
      <c r="I144" s="217" t="s">
        <v>279</v>
      </c>
    </row>
    <row r="145" spans="2:9" ht="21" customHeight="1" x14ac:dyDescent="0.3">
      <c r="B145" s="13" t="s">
        <v>216</v>
      </c>
      <c r="C145" s="13" t="s">
        <v>233</v>
      </c>
      <c r="D145" s="19" t="s">
        <v>240</v>
      </c>
      <c r="E145" s="13" t="s">
        <v>79</v>
      </c>
      <c r="F145" s="7">
        <v>44491</v>
      </c>
      <c r="H145" s="2">
        <v>1</v>
      </c>
      <c r="I145" s="217" t="s">
        <v>258</v>
      </c>
    </row>
    <row r="146" spans="2:9" ht="21" customHeight="1" x14ac:dyDescent="0.3">
      <c r="B146" s="13" t="s">
        <v>219</v>
      </c>
      <c r="C146" s="13" t="s">
        <v>233</v>
      </c>
      <c r="D146" s="19" t="s">
        <v>241</v>
      </c>
      <c r="E146" s="13" t="s">
        <v>79</v>
      </c>
      <c r="F146" s="7">
        <v>44480</v>
      </c>
      <c r="H146" s="2">
        <v>1</v>
      </c>
      <c r="I146" s="217" t="s">
        <v>279</v>
      </c>
    </row>
    <row r="147" spans="2:9" ht="21" customHeight="1" x14ac:dyDescent="0.3">
      <c r="B147" s="13" t="s">
        <v>219</v>
      </c>
      <c r="C147" s="13" t="s">
        <v>233</v>
      </c>
      <c r="D147" s="19" t="s">
        <v>241</v>
      </c>
      <c r="E147" s="13" t="s">
        <v>79</v>
      </c>
      <c r="F147" s="7">
        <v>44498</v>
      </c>
      <c r="H147" s="2">
        <v>1</v>
      </c>
      <c r="I147" s="217" t="s">
        <v>258</v>
      </c>
    </row>
    <row r="148" spans="2:9" ht="21" customHeight="1" x14ac:dyDescent="0.3">
      <c r="B148" s="13" t="s">
        <v>228</v>
      </c>
      <c r="C148" s="13" t="s">
        <v>238</v>
      </c>
      <c r="D148" s="19" t="s">
        <v>246</v>
      </c>
      <c r="E148" s="13" t="s">
        <v>79</v>
      </c>
      <c r="F148" s="7">
        <v>44477</v>
      </c>
      <c r="H148" s="2">
        <v>1</v>
      </c>
      <c r="I148" s="217" t="s">
        <v>279</v>
      </c>
    </row>
    <row r="149" spans="2:9" ht="21" customHeight="1" x14ac:dyDescent="0.3">
      <c r="B149" s="13" t="s">
        <v>228</v>
      </c>
      <c r="C149" s="13" t="s">
        <v>238</v>
      </c>
      <c r="D149" s="19" t="s">
        <v>246</v>
      </c>
      <c r="E149" s="13" t="s">
        <v>81</v>
      </c>
      <c r="F149" s="7">
        <v>44489</v>
      </c>
      <c r="H149" s="2">
        <v>0.5</v>
      </c>
      <c r="I149" s="217" t="s">
        <v>281</v>
      </c>
    </row>
    <row r="150" spans="2:9" ht="21" customHeight="1" x14ac:dyDescent="0.3">
      <c r="B150" s="13" t="s">
        <v>222</v>
      </c>
      <c r="C150" s="13" t="s">
        <v>235</v>
      </c>
      <c r="D150" s="19" t="s">
        <v>243</v>
      </c>
      <c r="E150" s="13" t="s">
        <v>79</v>
      </c>
      <c r="F150" s="7">
        <v>44473</v>
      </c>
      <c r="H150" s="2">
        <v>1</v>
      </c>
      <c r="I150" s="217" t="s">
        <v>258</v>
      </c>
    </row>
    <row r="151" spans="2:9" ht="21" customHeight="1" x14ac:dyDescent="0.3">
      <c r="B151" s="13" t="s">
        <v>222</v>
      </c>
      <c r="C151" s="13" t="s">
        <v>235</v>
      </c>
      <c r="D151" s="19" t="s">
        <v>243</v>
      </c>
      <c r="E151" s="13" t="s">
        <v>79</v>
      </c>
      <c r="F151" s="7">
        <v>44208</v>
      </c>
      <c r="H151" s="2">
        <v>1</v>
      </c>
      <c r="I151" s="217" t="s">
        <v>258</v>
      </c>
    </row>
    <row r="152" spans="2:9" ht="21" customHeight="1" x14ac:dyDescent="0.3">
      <c r="B152" s="13" t="s">
        <v>222</v>
      </c>
      <c r="C152" s="13" t="s">
        <v>235</v>
      </c>
      <c r="D152" s="19" t="s">
        <v>243</v>
      </c>
      <c r="E152" s="13" t="s">
        <v>79</v>
      </c>
      <c r="F152" s="7">
        <v>44488</v>
      </c>
      <c r="H152" s="2">
        <v>1</v>
      </c>
      <c r="I152" s="217" t="s">
        <v>258</v>
      </c>
    </row>
    <row r="153" spans="2:9" ht="21" customHeight="1" x14ac:dyDescent="0.3">
      <c r="B153" s="13" t="s">
        <v>222</v>
      </c>
      <c r="C153" s="13" t="s">
        <v>235</v>
      </c>
      <c r="D153" s="19" t="s">
        <v>243</v>
      </c>
      <c r="E153" s="13" t="s">
        <v>79</v>
      </c>
      <c r="F153" s="7">
        <v>44496</v>
      </c>
      <c r="H153" s="2">
        <v>1</v>
      </c>
      <c r="I153" s="217" t="s">
        <v>258</v>
      </c>
    </row>
    <row r="154" spans="2:9" ht="21" customHeight="1" x14ac:dyDescent="0.3">
      <c r="B154" s="13" t="s">
        <v>222</v>
      </c>
      <c r="C154" s="13" t="s">
        <v>235</v>
      </c>
      <c r="D154" s="19" t="s">
        <v>243</v>
      </c>
      <c r="E154" s="13" t="s">
        <v>79</v>
      </c>
      <c r="F154" s="7">
        <v>44497</v>
      </c>
      <c r="H154" s="2">
        <v>1</v>
      </c>
      <c r="I154" s="217" t="s">
        <v>258</v>
      </c>
    </row>
    <row r="155" spans="2:9" ht="21" customHeight="1" x14ac:dyDescent="0.3">
      <c r="B155" s="13" t="s">
        <v>260</v>
      </c>
      <c r="C155" s="13" t="s">
        <v>235</v>
      </c>
      <c r="D155" s="19" t="s">
        <v>244</v>
      </c>
      <c r="E155" s="13" t="s">
        <v>79</v>
      </c>
      <c r="F155" s="7">
        <v>44484</v>
      </c>
      <c r="H155" s="2">
        <v>1</v>
      </c>
      <c r="I155" s="217" t="s">
        <v>258</v>
      </c>
    </row>
    <row r="156" spans="2:9" ht="21" customHeight="1" x14ac:dyDescent="0.3">
      <c r="B156" s="13" t="s">
        <v>231</v>
      </c>
      <c r="C156" s="13" t="s">
        <v>235</v>
      </c>
      <c r="D156" s="19" t="s">
        <v>246</v>
      </c>
      <c r="E156" s="13" t="s">
        <v>79</v>
      </c>
      <c r="F156" s="7">
        <v>44474</v>
      </c>
      <c r="H156" s="2">
        <v>1</v>
      </c>
      <c r="I156" s="217" t="s">
        <v>258</v>
      </c>
    </row>
    <row r="157" spans="2:9" ht="21" customHeight="1" x14ac:dyDescent="0.3">
      <c r="B157" s="13" t="s">
        <v>231</v>
      </c>
      <c r="C157" s="13" t="s">
        <v>235</v>
      </c>
      <c r="D157" s="19" t="s">
        <v>246</v>
      </c>
      <c r="E157" s="13" t="s">
        <v>79</v>
      </c>
      <c r="F157" s="7">
        <v>44480</v>
      </c>
      <c r="H157" s="2">
        <v>1</v>
      </c>
      <c r="I157" s="217" t="s">
        <v>279</v>
      </c>
    </row>
    <row r="158" spans="2:9" ht="21" customHeight="1" x14ac:dyDescent="0.3">
      <c r="B158" s="13" t="s">
        <v>231</v>
      </c>
      <c r="C158" s="13" t="s">
        <v>235</v>
      </c>
      <c r="D158" s="19" t="s">
        <v>246</v>
      </c>
      <c r="E158" s="13" t="s">
        <v>79</v>
      </c>
      <c r="F158" s="7">
        <v>44491</v>
      </c>
      <c r="H158" s="2">
        <v>1</v>
      </c>
      <c r="I158" s="217" t="s">
        <v>258</v>
      </c>
    </row>
    <row r="159" spans="2:9" ht="21" customHeight="1" x14ac:dyDescent="0.3">
      <c r="B159" s="13" t="s">
        <v>265</v>
      </c>
      <c r="C159" s="13" t="s">
        <v>235</v>
      </c>
      <c r="D159" s="19" t="s">
        <v>246</v>
      </c>
      <c r="E159" s="13" t="s">
        <v>79</v>
      </c>
      <c r="F159" s="7">
        <v>44480</v>
      </c>
      <c r="H159" s="2">
        <v>1</v>
      </c>
      <c r="I159" s="217" t="s">
        <v>279</v>
      </c>
    </row>
    <row r="160" spans="2:9" ht="21" customHeight="1" x14ac:dyDescent="0.3">
      <c r="B160" s="13" t="s">
        <v>265</v>
      </c>
      <c r="C160" s="13" t="s">
        <v>235</v>
      </c>
      <c r="D160" s="19" t="s">
        <v>246</v>
      </c>
      <c r="E160" s="13" t="s">
        <v>81</v>
      </c>
      <c r="F160" s="7">
        <v>44495</v>
      </c>
      <c r="H160" s="2">
        <v>0.5</v>
      </c>
      <c r="I160" s="217" t="s">
        <v>281</v>
      </c>
    </row>
    <row r="161" spans="2:9" ht="21" customHeight="1" x14ac:dyDescent="0.3">
      <c r="B161" s="13" t="s">
        <v>275</v>
      </c>
      <c r="C161" s="13" t="s">
        <v>235</v>
      </c>
      <c r="D161" s="19" t="s">
        <v>246</v>
      </c>
      <c r="E161" s="13" t="s">
        <v>79</v>
      </c>
      <c r="F161" s="7">
        <v>44473</v>
      </c>
      <c r="H161" s="2">
        <v>1</v>
      </c>
      <c r="I161" s="217" t="s">
        <v>279</v>
      </c>
    </row>
    <row r="162" spans="2:9" ht="21" customHeight="1" x14ac:dyDescent="0.3">
      <c r="B162" s="13" t="s">
        <v>275</v>
      </c>
      <c r="C162" s="13" t="s">
        <v>235</v>
      </c>
      <c r="D162" s="19" t="s">
        <v>246</v>
      </c>
      <c r="E162" s="13" t="s">
        <v>79</v>
      </c>
      <c r="F162" s="7">
        <v>44484</v>
      </c>
      <c r="H162" s="2">
        <v>1</v>
      </c>
      <c r="I162" s="217" t="s">
        <v>258</v>
      </c>
    </row>
    <row r="163" spans="2:9" ht="21" customHeight="1" x14ac:dyDescent="0.3">
      <c r="B163" s="13" t="s">
        <v>276</v>
      </c>
      <c r="C163" s="13" t="s">
        <v>235</v>
      </c>
      <c r="D163" s="19" t="s">
        <v>243</v>
      </c>
      <c r="E163" s="13" t="s">
        <v>79</v>
      </c>
      <c r="F163" s="7">
        <v>44473</v>
      </c>
      <c r="H163" s="2">
        <v>1</v>
      </c>
      <c r="I163" s="217" t="s">
        <v>279</v>
      </c>
    </row>
    <row r="164" spans="2:9" ht="21" customHeight="1" x14ac:dyDescent="0.3">
      <c r="B164" s="13" t="s">
        <v>224</v>
      </c>
      <c r="C164" s="13" t="s">
        <v>232</v>
      </c>
      <c r="D164" s="19" t="s">
        <v>241</v>
      </c>
      <c r="E164" s="13" t="s">
        <v>79</v>
      </c>
      <c r="F164" s="7">
        <v>44508</v>
      </c>
      <c r="H164" s="2">
        <v>1</v>
      </c>
      <c r="I164" s="217" t="s">
        <v>258</v>
      </c>
    </row>
    <row r="165" spans="2:9" ht="21" customHeight="1" x14ac:dyDescent="0.3">
      <c r="B165" s="13" t="s">
        <v>224</v>
      </c>
      <c r="C165" s="13" t="s">
        <v>232</v>
      </c>
      <c r="D165" s="19" t="s">
        <v>241</v>
      </c>
      <c r="E165" s="13" t="s">
        <v>79</v>
      </c>
      <c r="F165" s="7">
        <v>44510</v>
      </c>
      <c r="H165" s="2">
        <v>1</v>
      </c>
      <c r="I165" s="217" t="s">
        <v>258</v>
      </c>
    </row>
    <row r="166" spans="2:9" ht="21" customHeight="1" x14ac:dyDescent="0.3">
      <c r="B166" s="13" t="s">
        <v>224</v>
      </c>
      <c r="C166" s="13" t="s">
        <v>232</v>
      </c>
      <c r="D166" s="19" t="s">
        <v>241</v>
      </c>
      <c r="E166" s="13" t="s">
        <v>79</v>
      </c>
      <c r="F166" s="7">
        <v>44512</v>
      </c>
      <c r="H166" s="2">
        <v>1</v>
      </c>
      <c r="I166" s="217" t="s">
        <v>258</v>
      </c>
    </row>
    <row r="167" spans="2:9" ht="21" customHeight="1" x14ac:dyDescent="0.3">
      <c r="B167" s="13" t="s">
        <v>224</v>
      </c>
      <c r="C167" s="13" t="s">
        <v>232</v>
      </c>
      <c r="D167" s="19" t="s">
        <v>241</v>
      </c>
      <c r="E167" s="13" t="s">
        <v>79</v>
      </c>
      <c r="F167" s="7">
        <v>44511</v>
      </c>
      <c r="H167" s="2">
        <v>1</v>
      </c>
      <c r="I167" s="217" t="s">
        <v>258</v>
      </c>
    </row>
    <row r="168" spans="2:9" ht="21" customHeight="1" x14ac:dyDescent="0.3">
      <c r="B168" s="13" t="s">
        <v>274</v>
      </c>
      <c r="C168" s="13" t="s">
        <v>232</v>
      </c>
      <c r="D168" s="19" t="s">
        <v>244</v>
      </c>
      <c r="E168" s="13" t="s">
        <v>79</v>
      </c>
      <c r="F168" s="7">
        <v>44487</v>
      </c>
      <c r="H168" s="2">
        <v>1</v>
      </c>
      <c r="I168" s="217" t="s">
        <v>282</v>
      </c>
    </row>
    <row r="169" spans="2:9" ht="21" customHeight="1" x14ac:dyDescent="0.3">
      <c r="B169" s="13" t="s">
        <v>215</v>
      </c>
      <c r="C169" s="13" t="s">
        <v>232</v>
      </c>
      <c r="D169" s="19" t="s">
        <v>239</v>
      </c>
      <c r="E169" s="13" t="s">
        <v>79</v>
      </c>
      <c r="F169" s="7">
        <v>44509</v>
      </c>
      <c r="H169" s="2">
        <v>1</v>
      </c>
      <c r="I169" s="217" t="s">
        <v>79</v>
      </c>
    </row>
    <row r="170" spans="2:9" ht="21" customHeight="1" x14ac:dyDescent="0.3">
      <c r="B170" s="13" t="s">
        <v>310</v>
      </c>
      <c r="C170" s="13" t="s">
        <v>232</v>
      </c>
      <c r="D170" s="19" t="s">
        <v>240</v>
      </c>
      <c r="E170" s="13" t="s">
        <v>79</v>
      </c>
      <c r="F170" s="7">
        <v>44503</v>
      </c>
      <c r="H170" s="2">
        <v>1</v>
      </c>
      <c r="I170" s="217" t="s">
        <v>283</v>
      </c>
    </row>
    <row r="171" spans="2:9" ht="21" customHeight="1" x14ac:dyDescent="0.3">
      <c r="B171" s="13" t="s">
        <v>310</v>
      </c>
      <c r="C171" s="13" t="s">
        <v>232</v>
      </c>
      <c r="D171" s="19" t="s">
        <v>240</v>
      </c>
      <c r="E171" s="13" t="s">
        <v>79</v>
      </c>
      <c r="F171" s="7">
        <v>44508</v>
      </c>
      <c r="H171" s="2">
        <v>1</v>
      </c>
      <c r="I171" s="217" t="s">
        <v>283</v>
      </c>
    </row>
    <row r="172" spans="2:9" ht="21" customHeight="1" x14ac:dyDescent="0.3">
      <c r="B172" s="13" t="s">
        <v>229</v>
      </c>
      <c r="C172" s="13" t="s">
        <v>232</v>
      </c>
      <c r="D172" s="19" t="s">
        <v>244</v>
      </c>
      <c r="E172" s="13" t="s">
        <v>79</v>
      </c>
      <c r="F172" s="7">
        <v>44501</v>
      </c>
      <c r="H172" s="2">
        <v>1</v>
      </c>
      <c r="I172" s="217" t="s">
        <v>283</v>
      </c>
    </row>
    <row r="173" spans="2:9" ht="21" customHeight="1" x14ac:dyDescent="0.3">
      <c r="B173" s="13" t="s">
        <v>229</v>
      </c>
      <c r="C173" s="13" t="s">
        <v>232</v>
      </c>
      <c r="D173" s="19" t="s">
        <v>244</v>
      </c>
      <c r="E173" s="13" t="s">
        <v>79</v>
      </c>
      <c r="F173" s="7">
        <v>44526</v>
      </c>
      <c r="H173" s="2">
        <v>1</v>
      </c>
      <c r="I173" s="217" t="s">
        <v>283</v>
      </c>
    </row>
    <row r="174" spans="2:9" ht="21" customHeight="1" x14ac:dyDescent="0.3">
      <c r="B174" s="13" t="s">
        <v>229</v>
      </c>
      <c r="C174" s="13" t="s">
        <v>232</v>
      </c>
      <c r="D174" s="19" t="s">
        <v>244</v>
      </c>
      <c r="E174" s="13" t="s">
        <v>79</v>
      </c>
      <c r="F174" s="7">
        <v>44529</v>
      </c>
      <c r="H174" s="2">
        <v>1</v>
      </c>
      <c r="I174" s="217" t="s">
        <v>283</v>
      </c>
    </row>
    <row r="175" spans="2:9" ht="21" customHeight="1" x14ac:dyDescent="0.3">
      <c r="B175" s="13" t="s">
        <v>277</v>
      </c>
      <c r="C175" s="13" t="s">
        <v>232</v>
      </c>
      <c r="D175" s="19" t="s">
        <v>246</v>
      </c>
      <c r="E175" s="13" t="s">
        <v>79</v>
      </c>
      <c r="F175" s="7">
        <v>44530</v>
      </c>
      <c r="H175" s="2">
        <v>1</v>
      </c>
      <c r="I175" s="217" t="s">
        <v>283</v>
      </c>
    </row>
    <row r="176" spans="2:9" ht="21" customHeight="1" x14ac:dyDescent="0.3">
      <c r="B176" s="13" t="s">
        <v>216</v>
      </c>
      <c r="C176" s="13" t="s">
        <v>233</v>
      </c>
      <c r="D176" s="19" t="s">
        <v>240</v>
      </c>
      <c r="E176" s="13" t="s">
        <v>79</v>
      </c>
      <c r="F176" s="7">
        <v>44504</v>
      </c>
      <c r="H176" s="2">
        <v>1</v>
      </c>
      <c r="I176" s="217" t="s">
        <v>283</v>
      </c>
    </row>
    <row r="177" spans="2:9" ht="21" customHeight="1" x14ac:dyDescent="0.3">
      <c r="B177" s="13" t="s">
        <v>219</v>
      </c>
      <c r="C177" s="13" t="s">
        <v>233</v>
      </c>
      <c r="D177" s="19" t="s">
        <v>241</v>
      </c>
      <c r="E177" s="13" t="s">
        <v>79</v>
      </c>
      <c r="F177" s="7">
        <v>44512</v>
      </c>
      <c r="H177" s="2">
        <v>1</v>
      </c>
      <c r="I177" s="217" t="s">
        <v>283</v>
      </c>
    </row>
    <row r="178" spans="2:9" ht="21" customHeight="1" x14ac:dyDescent="0.3">
      <c r="B178" s="13" t="s">
        <v>219</v>
      </c>
      <c r="C178" s="13" t="s">
        <v>233</v>
      </c>
      <c r="D178" s="19" t="s">
        <v>241</v>
      </c>
      <c r="E178" s="13" t="s">
        <v>79</v>
      </c>
      <c r="F178" s="7">
        <v>44525</v>
      </c>
      <c r="H178" s="2">
        <v>1</v>
      </c>
      <c r="I178" s="217" t="s">
        <v>283</v>
      </c>
    </row>
    <row r="179" spans="2:9" ht="21" customHeight="1" x14ac:dyDescent="0.3">
      <c r="B179" s="13" t="s">
        <v>219</v>
      </c>
      <c r="C179" s="13" t="s">
        <v>233</v>
      </c>
      <c r="D179" s="19" t="s">
        <v>241</v>
      </c>
      <c r="E179" s="13" t="s">
        <v>79</v>
      </c>
      <c r="F179" s="7">
        <v>44526</v>
      </c>
      <c r="H179" s="2">
        <v>1</v>
      </c>
      <c r="I179" s="217" t="s">
        <v>283</v>
      </c>
    </row>
    <row r="180" spans="2:9" ht="21" customHeight="1" x14ac:dyDescent="0.3">
      <c r="B180" s="13" t="s">
        <v>228</v>
      </c>
      <c r="C180" s="13" t="s">
        <v>238</v>
      </c>
      <c r="D180" s="19" t="s">
        <v>246</v>
      </c>
      <c r="E180" s="13" t="s">
        <v>79</v>
      </c>
      <c r="F180" s="7">
        <v>44518</v>
      </c>
      <c r="H180" s="2">
        <v>1</v>
      </c>
      <c r="I180" s="217" t="s">
        <v>283</v>
      </c>
    </row>
    <row r="181" spans="2:9" ht="21" customHeight="1" x14ac:dyDescent="0.3">
      <c r="B181" s="13" t="s">
        <v>228</v>
      </c>
      <c r="C181" s="13" t="s">
        <v>238</v>
      </c>
      <c r="D181" s="19" t="s">
        <v>246</v>
      </c>
      <c r="E181" s="13" t="s">
        <v>79</v>
      </c>
      <c r="F181" s="7">
        <v>44529</v>
      </c>
      <c r="H181" s="2">
        <v>1</v>
      </c>
      <c r="I181" s="217" t="s">
        <v>283</v>
      </c>
    </row>
    <row r="182" spans="2:9" ht="21" customHeight="1" x14ac:dyDescent="0.3">
      <c r="B182" s="13" t="s">
        <v>260</v>
      </c>
      <c r="C182" s="13" t="s">
        <v>235</v>
      </c>
      <c r="D182" s="19" t="s">
        <v>244</v>
      </c>
      <c r="E182" s="13" t="s">
        <v>79</v>
      </c>
      <c r="F182" s="7">
        <v>44516</v>
      </c>
      <c r="H182" s="2">
        <v>1</v>
      </c>
      <c r="I182" s="217" t="s">
        <v>283</v>
      </c>
    </row>
    <row r="183" spans="2:9" ht="21" customHeight="1" x14ac:dyDescent="0.3">
      <c r="B183" s="13" t="s">
        <v>260</v>
      </c>
      <c r="C183" s="13" t="s">
        <v>235</v>
      </c>
      <c r="D183" s="19" t="s">
        <v>244</v>
      </c>
      <c r="E183" s="13" t="s">
        <v>79</v>
      </c>
      <c r="F183" s="7">
        <v>44517</v>
      </c>
      <c r="H183" s="2">
        <v>1</v>
      </c>
      <c r="I183" s="217" t="s">
        <v>283</v>
      </c>
    </row>
    <row r="184" spans="2:9" ht="21" customHeight="1" x14ac:dyDescent="0.3">
      <c r="B184" s="13" t="s">
        <v>276</v>
      </c>
      <c r="C184" s="13" t="s">
        <v>235</v>
      </c>
      <c r="D184" s="19" t="s">
        <v>243</v>
      </c>
      <c r="E184" s="13" t="s">
        <v>79</v>
      </c>
      <c r="F184" s="7">
        <v>44529</v>
      </c>
      <c r="H184" s="2">
        <v>1</v>
      </c>
      <c r="I184" s="217" t="s">
        <v>283</v>
      </c>
    </row>
    <row r="185" spans="2:9" ht="21" customHeight="1" x14ac:dyDescent="0.3">
      <c r="B185" s="13" t="s">
        <v>215</v>
      </c>
      <c r="C185" s="13" t="s">
        <v>232</v>
      </c>
      <c r="D185" s="19" t="s">
        <v>239</v>
      </c>
      <c r="E185" s="13" t="s">
        <v>79</v>
      </c>
      <c r="F185" s="7">
        <v>44553</v>
      </c>
      <c r="H185" s="2">
        <v>1</v>
      </c>
      <c r="I185" s="217" t="s">
        <v>271</v>
      </c>
    </row>
    <row r="186" spans="2:9" ht="21" customHeight="1" x14ac:dyDescent="0.3">
      <c r="B186" s="13" t="s">
        <v>310</v>
      </c>
      <c r="C186" s="13" t="s">
        <v>232</v>
      </c>
      <c r="D186" s="19" t="s">
        <v>240</v>
      </c>
      <c r="E186" s="13" t="s">
        <v>79</v>
      </c>
      <c r="F186" s="7">
        <v>44543</v>
      </c>
      <c r="H186" s="2">
        <v>1</v>
      </c>
      <c r="I186" s="217" t="s">
        <v>79</v>
      </c>
    </row>
    <row r="187" spans="2:9" ht="21" customHeight="1" x14ac:dyDescent="0.3">
      <c r="B187" s="13" t="s">
        <v>229</v>
      </c>
      <c r="C187" s="13" t="s">
        <v>232</v>
      </c>
      <c r="D187" s="19" t="s">
        <v>244</v>
      </c>
      <c r="E187" s="13" t="s">
        <v>79</v>
      </c>
      <c r="F187" s="7">
        <v>44553</v>
      </c>
      <c r="H187" s="2">
        <v>1</v>
      </c>
      <c r="I187" s="217" t="s">
        <v>283</v>
      </c>
    </row>
    <row r="188" spans="2:9" ht="21" customHeight="1" x14ac:dyDescent="0.3">
      <c r="B188" s="13" t="s">
        <v>229</v>
      </c>
      <c r="C188" s="13" t="s">
        <v>232</v>
      </c>
      <c r="D188" s="19" t="s">
        <v>244</v>
      </c>
      <c r="E188" s="13" t="s">
        <v>79</v>
      </c>
      <c r="F188" s="7">
        <v>44559</v>
      </c>
      <c r="H188" s="2">
        <v>1</v>
      </c>
      <c r="I188" s="217" t="s">
        <v>283</v>
      </c>
    </row>
    <row r="189" spans="2:9" ht="21" customHeight="1" x14ac:dyDescent="0.3">
      <c r="B189" s="13" t="s">
        <v>267</v>
      </c>
      <c r="C189" s="13" t="s">
        <v>232</v>
      </c>
      <c r="D189" s="19" t="s">
        <v>241</v>
      </c>
      <c r="E189" s="13" t="s">
        <v>79</v>
      </c>
      <c r="F189" s="7">
        <v>44547</v>
      </c>
      <c r="H189" s="2">
        <v>1</v>
      </c>
      <c r="I189" s="217" t="s">
        <v>283</v>
      </c>
    </row>
    <row r="190" spans="2:9" ht="21" customHeight="1" x14ac:dyDescent="0.3">
      <c r="B190" s="13" t="s">
        <v>267</v>
      </c>
      <c r="C190" s="13" t="s">
        <v>232</v>
      </c>
      <c r="D190" s="19" t="s">
        <v>241</v>
      </c>
      <c r="E190" s="13" t="s">
        <v>79</v>
      </c>
      <c r="F190" s="7">
        <v>44550</v>
      </c>
      <c r="H190" s="2">
        <v>1</v>
      </c>
      <c r="I190" s="217" t="s">
        <v>283</v>
      </c>
    </row>
    <row r="191" spans="2:9" ht="21" customHeight="1" x14ac:dyDescent="0.3">
      <c r="B191" s="13" t="s">
        <v>267</v>
      </c>
      <c r="C191" s="13" t="s">
        <v>232</v>
      </c>
      <c r="D191" s="19" t="s">
        <v>241</v>
      </c>
      <c r="E191" s="13" t="s">
        <v>79</v>
      </c>
      <c r="F191" s="7">
        <v>44557</v>
      </c>
      <c r="H191" s="2">
        <v>1</v>
      </c>
      <c r="I191" s="217" t="s">
        <v>283</v>
      </c>
    </row>
    <row r="192" spans="2:9" ht="21" customHeight="1" x14ac:dyDescent="0.3">
      <c r="B192" s="13" t="s">
        <v>277</v>
      </c>
      <c r="C192" s="13" t="s">
        <v>232</v>
      </c>
      <c r="D192" s="19" t="s">
        <v>246</v>
      </c>
      <c r="E192" s="13" t="s">
        <v>79</v>
      </c>
      <c r="F192" s="7">
        <v>44536</v>
      </c>
      <c r="H192" s="2">
        <v>1</v>
      </c>
      <c r="I192" s="217" t="s">
        <v>258</v>
      </c>
    </row>
    <row r="193" spans="2:9" ht="21" customHeight="1" x14ac:dyDescent="0.3">
      <c r="B193" s="13" t="s">
        <v>216</v>
      </c>
      <c r="C193" s="13" t="s">
        <v>233</v>
      </c>
      <c r="D193" s="19" t="s">
        <v>240</v>
      </c>
      <c r="E193" s="13" t="s">
        <v>79</v>
      </c>
      <c r="F193" s="7">
        <v>44540</v>
      </c>
      <c r="H193" s="2">
        <v>1</v>
      </c>
      <c r="I193" s="217" t="s">
        <v>283</v>
      </c>
    </row>
    <row r="194" spans="2:9" ht="21" customHeight="1" x14ac:dyDescent="0.3">
      <c r="B194" s="13" t="s">
        <v>216</v>
      </c>
      <c r="C194" s="13" t="s">
        <v>233</v>
      </c>
      <c r="D194" s="19" t="s">
        <v>240</v>
      </c>
      <c r="E194" s="13" t="s">
        <v>79</v>
      </c>
      <c r="F194" s="7">
        <v>44544</v>
      </c>
      <c r="H194" s="2">
        <v>1</v>
      </c>
      <c r="I194" s="217" t="s">
        <v>283</v>
      </c>
    </row>
    <row r="195" spans="2:9" ht="21" customHeight="1" x14ac:dyDescent="0.3">
      <c r="B195" s="13" t="s">
        <v>219</v>
      </c>
      <c r="C195" s="13" t="s">
        <v>233</v>
      </c>
      <c r="D195" s="19" t="s">
        <v>241</v>
      </c>
      <c r="E195" s="13" t="s">
        <v>79</v>
      </c>
      <c r="F195" s="7">
        <v>44543</v>
      </c>
      <c r="H195" s="2">
        <v>1</v>
      </c>
      <c r="I195" s="217" t="s">
        <v>283</v>
      </c>
    </row>
    <row r="196" spans="2:9" ht="21" customHeight="1" x14ac:dyDescent="0.3">
      <c r="B196" s="13" t="s">
        <v>219</v>
      </c>
      <c r="C196" s="13" t="s">
        <v>233</v>
      </c>
      <c r="D196" s="19" t="s">
        <v>241</v>
      </c>
      <c r="E196" s="13" t="s">
        <v>79</v>
      </c>
      <c r="F196" s="7">
        <v>44557</v>
      </c>
      <c r="H196" s="2">
        <v>1</v>
      </c>
      <c r="I196" s="217" t="s">
        <v>283</v>
      </c>
    </row>
    <row r="197" spans="2:9" ht="21" customHeight="1" x14ac:dyDescent="0.3">
      <c r="B197" s="13" t="s">
        <v>228</v>
      </c>
      <c r="C197" s="13" t="s">
        <v>238</v>
      </c>
      <c r="D197" s="19" t="s">
        <v>246</v>
      </c>
      <c r="E197" s="13" t="s">
        <v>79</v>
      </c>
      <c r="F197" s="7">
        <v>44546</v>
      </c>
      <c r="H197" s="2">
        <v>1</v>
      </c>
      <c r="I197" s="217" t="s">
        <v>283</v>
      </c>
    </row>
    <row r="198" spans="2:9" ht="21" customHeight="1" x14ac:dyDescent="0.3">
      <c r="B198" s="13" t="s">
        <v>228</v>
      </c>
      <c r="C198" s="13" t="s">
        <v>238</v>
      </c>
      <c r="D198" s="19" t="s">
        <v>246</v>
      </c>
      <c r="E198" s="13" t="s">
        <v>79</v>
      </c>
      <c r="F198" s="7">
        <v>44547</v>
      </c>
      <c r="H198" s="2">
        <v>1</v>
      </c>
      <c r="I198" s="217" t="s">
        <v>283</v>
      </c>
    </row>
    <row r="199" spans="2:9" ht="21" customHeight="1" x14ac:dyDescent="0.3">
      <c r="B199" s="13" t="s">
        <v>228</v>
      </c>
      <c r="C199" s="13" t="s">
        <v>238</v>
      </c>
      <c r="D199" s="19" t="s">
        <v>246</v>
      </c>
      <c r="E199" s="13" t="s">
        <v>79</v>
      </c>
      <c r="F199" s="7">
        <v>44559</v>
      </c>
      <c r="H199" s="2">
        <v>1</v>
      </c>
      <c r="I199" s="217" t="s">
        <v>283</v>
      </c>
    </row>
    <row r="200" spans="2:9" ht="21" customHeight="1" x14ac:dyDescent="0.3">
      <c r="B200" s="13" t="s">
        <v>260</v>
      </c>
      <c r="C200" s="13" t="s">
        <v>235</v>
      </c>
      <c r="D200" s="19" t="s">
        <v>244</v>
      </c>
      <c r="E200" s="13" t="s">
        <v>79</v>
      </c>
      <c r="F200" s="7">
        <v>44554</v>
      </c>
      <c r="H200" s="2">
        <v>1</v>
      </c>
      <c r="I200" s="217" t="s">
        <v>283</v>
      </c>
    </row>
    <row r="201" spans="2:9" ht="21" customHeight="1" x14ac:dyDescent="0.3">
      <c r="B201" s="13" t="s">
        <v>265</v>
      </c>
      <c r="C201" s="13" t="s">
        <v>235</v>
      </c>
      <c r="D201" s="19" t="s">
        <v>246</v>
      </c>
      <c r="E201" s="13" t="s">
        <v>79</v>
      </c>
      <c r="F201" s="7">
        <v>44547</v>
      </c>
      <c r="H201" s="2">
        <v>1</v>
      </c>
      <c r="I201" s="217" t="s">
        <v>283</v>
      </c>
    </row>
    <row r="202" spans="2:9" ht="21" customHeight="1" x14ac:dyDescent="0.3">
      <c r="B202" s="13" t="s">
        <v>275</v>
      </c>
      <c r="C202" s="13" t="s">
        <v>235</v>
      </c>
      <c r="D202" s="19" t="s">
        <v>246</v>
      </c>
      <c r="E202" s="13" t="s">
        <v>79</v>
      </c>
      <c r="F202" s="7">
        <v>44543</v>
      </c>
      <c r="H202" s="2">
        <v>1</v>
      </c>
      <c r="I202" s="217" t="s">
        <v>283</v>
      </c>
    </row>
    <row r="203" spans="2:9" ht="21" customHeight="1" x14ac:dyDescent="0.3">
      <c r="B203" s="13" t="s">
        <v>276</v>
      </c>
      <c r="C203" s="13" t="s">
        <v>235</v>
      </c>
      <c r="D203" s="19" t="s">
        <v>243</v>
      </c>
      <c r="E203" s="13" t="s">
        <v>79</v>
      </c>
      <c r="F203" s="7">
        <v>44550</v>
      </c>
      <c r="H203" s="2">
        <v>1</v>
      </c>
      <c r="I203" s="217" t="s">
        <v>283</v>
      </c>
    </row>
    <row r="204" spans="2:9" ht="21" customHeight="1" x14ac:dyDescent="0.3">
      <c r="B204" s="13" t="s">
        <v>291</v>
      </c>
      <c r="C204" s="13" t="s">
        <v>232</v>
      </c>
      <c r="D204" s="19" t="s">
        <v>241</v>
      </c>
      <c r="E204" s="13" t="s">
        <v>79</v>
      </c>
      <c r="F204" s="7">
        <v>44547</v>
      </c>
      <c r="H204" s="2">
        <v>1</v>
      </c>
      <c r="I204" s="217" t="s">
        <v>294</v>
      </c>
    </row>
    <row r="205" spans="2:9" ht="21" customHeight="1" x14ac:dyDescent="0.3">
      <c r="B205" s="13" t="s">
        <v>310</v>
      </c>
      <c r="C205" s="13" t="s">
        <v>232</v>
      </c>
      <c r="D205" s="19" t="s">
        <v>240</v>
      </c>
      <c r="E205" s="13" t="s">
        <v>79</v>
      </c>
      <c r="F205" s="7">
        <v>44578</v>
      </c>
      <c r="H205" s="2">
        <v>1</v>
      </c>
      <c r="I205" s="217" t="s">
        <v>79</v>
      </c>
    </row>
    <row r="206" spans="2:9" ht="21" customHeight="1" x14ac:dyDescent="0.3">
      <c r="B206" s="13" t="s">
        <v>267</v>
      </c>
      <c r="C206" s="13" t="s">
        <v>232</v>
      </c>
      <c r="D206" s="19" t="s">
        <v>241</v>
      </c>
      <c r="E206" s="13" t="s">
        <v>79</v>
      </c>
      <c r="F206" s="7">
        <v>44585</v>
      </c>
      <c r="H206" s="2">
        <v>1</v>
      </c>
      <c r="I206" s="217" t="s">
        <v>79</v>
      </c>
    </row>
    <row r="207" spans="2:9" ht="21" customHeight="1" x14ac:dyDescent="0.3">
      <c r="B207" s="13" t="s">
        <v>277</v>
      </c>
      <c r="C207" s="13" t="s">
        <v>232</v>
      </c>
      <c r="D207" s="19" t="s">
        <v>246</v>
      </c>
      <c r="E207" s="13" t="s">
        <v>79</v>
      </c>
      <c r="F207" s="7">
        <v>44579</v>
      </c>
      <c r="H207" s="2">
        <v>1</v>
      </c>
      <c r="I207" s="217" t="s">
        <v>79</v>
      </c>
    </row>
    <row r="208" spans="2:9" ht="21" customHeight="1" x14ac:dyDescent="0.3">
      <c r="B208" s="13" t="s">
        <v>277</v>
      </c>
      <c r="C208" s="13" t="s">
        <v>232</v>
      </c>
      <c r="D208" s="19" t="s">
        <v>246</v>
      </c>
      <c r="E208" s="13" t="s">
        <v>79</v>
      </c>
      <c r="F208" s="7">
        <v>44580</v>
      </c>
      <c r="H208" s="2">
        <v>1</v>
      </c>
      <c r="I208" s="217" t="s">
        <v>79</v>
      </c>
    </row>
    <row r="209" spans="2:10" ht="21" customHeight="1" x14ac:dyDescent="0.3">
      <c r="B209" s="205" t="s">
        <v>216</v>
      </c>
      <c r="C209" s="205" t="s">
        <v>233</v>
      </c>
      <c r="D209" s="206" t="s">
        <v>240</v>
      </c>
      <c r="E209" s="13" t="s">
        <v>79</v>
      </c>
      <c r="F209" s="7">
        <v>44568</v>
      </c>
      <c r="H209" s="2">
        <v>1</v>
      </c>
      <c r="I209" s="217" t="s">
        <v>79</v>
      </c>
      <c r="J209" s="16" t="s">
        <v>288</v>
      </c>
    </row>
    <row r="210" spans="2:10" ht="21" customHeight="1" x14ac:dyDescent="0.3">
      <c r="B210" s="13" t="s">
        <v>219</v>
      </c>
      <c r="C210" s="13" t="s">
        <v>233</v>
      </c>
      <c r="D210" s="19" t="s">
        <v>241</v>
      </c>
      <c r="E210" s="13" t="s">
        <v>79</v>
      </c>
      <c r="F210" s="7">
        <v>44575</v>
      </c>
      <c r="H210" s="2">
        <v>1</v>
      </c>
      <c r="I210" s="217" t="s">
        <v>79</v>
      </c>
    </row>
    <row r="211" spans="2:10" ht="21" customHeight="1" x14ac:dyDescent="0.3">
      <c r="B211" s="13" t="s">
        <v>289</v>
      </c>
      <c r="C211" s="13" t="s">
        <v>233</v>
      </c>
      <c r="D211" s="19" t="s">
        <v>246</v>
      </c>
      <c r="E211" s="13" t="s">
        <v>79</v>
      </c>
      <c r="F211" s="7">
        <v>44582</v>
      </c>
      <c r="H211" s="2">
        <v>1</v>
      </c>
      <c r="I211" s="217" t="s">
        <v>79</v>
      </c>
      <c r="J211" s="16" t="s">
        <v>288</v>
      </c>
    </row>
    <row r="212" spans="2:10" ht="21" customHeight="1" x14ac:dyDescent="0.3">
      <c r="B212" s="13" t="s">
        <v>275</v>
      </c>
      <c r="C212" s="13" t="s">
        <v>235</v>
      </c>
      <c r="D212" s="19" t="s">
        <v>246</v>
      </c>
      <c r="E212" s="13" t="s">
        <v>79</v>
      </c>
      <c r="F212" s="7">
        <v>44573</v>
      </c>
      <c r="H212" s="2">
        <v>1</v>
      </c>
      <c r="I212" s="217" t="s">
        <v>283</v>
      </c>
    </row>
    <row r="213" spans="2:10" ht="21" customHeight="1" x14ac:dyDescent="0.3">
      <c r="B213" s="205" t="s">
        <v>275</v>
      </c>
      <c r="C213" s="205" t="s">
        <v>235</v>
      </c>
      <c r="D213" s="206" t="s">
        <v>246</v>
      </c>
      <c r="E213" s="13" t="s">
        <v>81</v>
      </c>
      <c r="F213" s="7">
        <v>44585</v>
      </c>
      <c r="H213" s="2">
        <v>0.5</v>
      </c>
      <c r="I213" s="217" t="s">
        <v>281</v>
      </c>
      <c r="J213" s="16" t="s">
        <v>288</v>
      </c>
    </row>
    <row r="214" spans="2:10" ht="21" customHeight="1" x14ac:dyDescent="0.3">
      <c r="B214" s="205" t="s">
        <v>276</v>
      </c>
      <c r="C214" s="205" t="s">
        <v>235</v>
      </c>
      <c r="D214" s="206" t="s">
        <v>243</v>
      </c>
      <c r="E214" s="13" t="s">
        <v>79</v>
      </c>
      <c r="F214" s="7">
        <v>44575</v>
      </c>
      <c r="H214" s="2">
        <v>1</v>
      </c>
      <c r="I214" s="217" t="s">
        <v>283</v>
      </c>
    </row>
    <row r="215" spans="2:10" ht="21" customHeight="1" x14ac:dyDescent="0.3">
      <c r="B215" s="13" t="s">
        <v>310</v>
      </c>
      <c r="C215" s="13" t="s">
        <v>232</v>
      </c>
      <c r="D215" s="19" t="s">
        <v>240</v>
      </c>
      <c r="E215" s="13" t="s">
        <v>79</v>
      </c>
      <c r="F215" s="7">
        <v>44606</v>
      </c>
      <c r="H215" s="2">
        <v>1</v>
      </c>
      <c r="I215" s="217" t="s">
        <v>79</v>
      </c>
    </row>
    <row r="216" spans="2:10" ht="21" customHeight="1" x14ac:dyDescent="0.3">
      <c r="B216" s="13" t="s">
        <v>310</v>
      </c>
      <c r="C216" s="13" t="s">
        <v>232</v>
      </c>
      <c r="D216" s="19" t="s">
        <v>240</v>
      </c>
      <c r="E216" s="13" t="s">
        <v>79</v>
      </c>
      <c r="F216" s="7">
        <v>44610</v>
      </c>
      <c r="H216" s="2">
        <v>1</v>
      </c>
      <c r="I216" s="217" t="s">
        <v>299</v>
      </c>
      <c r="J216" s="16" t="s">
        <v>288</v>
      </c>
    </row>
    <row r="217" spans="2:10" ht="21" customHeight="1" x14ac:dyDescent="0.3">
      <c r="B217" s="13" t="s">
        <v>229</v>
      </c>
      <c r="C217" s="13" t="s">
        <v>232</v>
      </c>
      <c r="D217" s="19" t="s">
        <v>244</v>
      </c>
      <c r="E217" s="13" t="s">
        <v>79</v>
      </c>
      <c r="F217" s="7">
        <v>44599</v>
      </c>
      <c r="H217" s="2">
        <v>1</v>
      </c>
      <c r="I217" s="217" t="s">
        <v>79</v>
      </c>
    </row>
    <row r="218" spans="2:10" ht="21" customHeight="1" x14ac:dyDescent="0.3">
      <c r="B218" s="13" t="s">
        <v>277</v>
      </c>
      <c r="C218" s="13" t="s">
        <v>232</v>
      </c>
      <c r="D218" s="19" t="s">
        <v>246</v>
      </c>
      <c r="E218" s="13" t="s">
        <v>79</v>
      </c>
      <c r="F218" s="7">
        <v>44617</v>
      </c>
      <c r="H218" s="2">
        <v>1</v>
      </c>
      <c r="I218" s="217" t="s">
        <v>79</v>
      </c>
      <c r="J218" s="16" t="s">
        <v>288</v>
      </c>
    </row>
    <row r="219" spans="2:10" ht="21" customHeight="1" x14ac:dyDescent="0.3">
      <c r="B219" s="13" t="s">
        <v>219</v>
      </c>
      <c r="C219" s="13" t="s">
        <v>233</v>
      </c>
      <c r="D219" s="19" t="s">
        <v>241</v>
      </c>
      <c r="E219" s="13" t="s">
        <v>79</v>
      </c>
      <c r="F219" s="7">
        <v>44617</v>
      </c>
      <c r="H219" s="2">
        <v>1</v>
      </c>
      <c r="I219" s="217" t="s">
        <v>79</v>
      </c>
    </row>
    <row r="220" spans="2:10" ht="21" customHeight="1" x14ac:dyDescent="0.3">
      <c r="B220" s="13" t="s">
        <v>228</v>
      </c>
      <c r="C220" s="13" t="s">
        <v>238</v>
      </c>
      <c r="D220" s="19" t="s">
        <v>246</v>
      </c>
      <c r="E220" s="13" t="s">
        <v>79</v>
      </c>
      <c r="F220" s="7">
        <v>44620</v>
      </c>
      <c r="H220" s="2">
        <v>1</v>
      </c>
      <c r="I220" s="217" t="s">
        <v>79</v>
      </c>
    </row>
    <row r="221" spans="2:10" ht="21" customHeight="1" x14ac:dyDescent="0.3">
      <c r="B221" s="13" t="s">
        <v>289</v>
      </c>
      <c r="C221" s="13" t="s">
        <v>233</v>
      </c>
      <c r="D221" s="19" t="s">
        <v>246</v>
      </c>
      <c r="E221" s="13" t="s">
        <v>79</v>
      </c>
      <c r="F221" s="7">
        <v>44613</v>
      </c>
      <c r="H221" s="2">
        <v>1</v>
      </c>
      <c r="I221" s="217" t="s">
        <v>79</v>
      </c>
    </row>
    <row r="222" spans="2:10" ht="21" customHeight="1" x14ac:dyDescent="0.3">
      <c r="B222" s="13" t="s">
        <v>260</v>
      </c>
      <c r="C222" s="13" t="s">
        <v>235</v>
      </c>
      <c r="D222" s="19" t="s">
        <v>244</v>
      </c>
      <c r="E222" s="13" t="s">
        <v>79</v>
      </c>
      <c r="F222" s="7">
        <v>44610</v>
      </c>
      <c r="H222" s="2">
        <v>1</v>
      </c>
      <c r="I222" s="217" t="s">
        <v>79</v>
      </c>
    </row>
    <row r="223" spans="2:10" ht="21" customHeight="1" x14ac:dyDescent="0.3">
      <c r="B223" s="13" t="s">
        <v>265</v>
      </c>
      <c r="C223" s="13" t="s">
        <v>235</v>
      </c>
      <c r="D223" s="19" t="s">
        <v>246</v>
      </c>
      <c r="E223" s="13" t="s">
        <v>79</v>
      </c>
      <c r="F223" s="7">
        <v>44613</v>
      </c>
      <c r="H223" s="2">
        <v>1</v>
      </c>
      <c r="I223" s="217" t="s">
        <v>79</v>
      </c>
    </row>
    <row r="224" spans="2:10" ht="21" customHeight="1" x14ac:dyDescent="0.3">
      <c r="B224" s="13" t="s">
        <v>275</v>
      </c>
      <c r="C224" s="13" t="s">
        <v>235</v>
      </c>
      <c r="D224" s="19" t="s">
        <v>246</v>
      </c>
      <c r="E224" s="13" t="s">
        <v>79</v>
      </c>
      <c r="F224" s="7">
        <v>44603</v>
      </c>
      <c r="H224" s="2">
        <v>1</v>
      </c>
      <c r="I224" s="217" t="s">
        <v>79</v>
      </c>
      <c r="J224" s="207"/>
    </row>
    <row r="225" spans="2:9" ht="21" customHeight="1" x14ac:dyDescent="0.3">
      <c r="B225" s="13" t="s">
        <v>275</v>
      </c>
      <c r="C225" s="13" t="s">
        <v>235</v>
      </c>
      <c r="D225" s="19" t="s">
        <v>246</v>
      </c>
      <c r="E225" s="13" t="s">
        <v>81</v>
      </c>
      <c r="F225" s="7">
        <v>44607</v>
      </c>
      <c r="H225" s="2">
        <v>0.5</v>
      </c>
      <c r="I225" s="217" t="s">
        <v>281</v>
      </c>
    </row>
    <row r="226" spans="2:9" ht="21" customHeight="1" x14ac:dyDescent="0.3">
      <c r="B226" s="205" t="s">
        <v>276</v>
      </c>
      <c r="C226" s="205" t="s">
        <v>235</v>
      </c>
      <c r="D226" s="206" t="s">
        <v>243</v>
      </c>
      <c r="E226" s="13" t="s">
        <v>79</v>
      </c>
      <c r="F226" s="7">
        <v>44606</v>
      </c>
      <c r="H226" s="2">
        <v>1</v>
      </c>
      <c r="I226" s="217" t="s">
        <v>283</v>
      </c>
    </row>
    <row r="227" spans="2:9" ht="21" customHeight="1" x14ac:dyDescent="0.3">
      <c r="B227" s="13" t="s">
        <v>229</v>
      </c>
      <c r="C227" s="13" t="s">
        <v>232</v>
      </c>
      <c r="D227" s="19" t="s">
        <v>244</v>
      </c>
      <c r="E227" s="13" t="s">
        <v>79</v>
      </c>
      <c r="F227" s="7">
        <v>44644</v>
      </c>
      <c r="H227" s="2">
        <v>1</v>
      </c>
      <c r="I227" s="217" t="s">
        <v>79</v>
      </c>
    </row>
    <row r="228" spans="2:9" ht="21" customHeight="1" x14ac:dyDescent="0.3">
      <c r="B228" s="13" t="s">
        <v>229</v>
      </c>
      <c r="C228" s="13" t="s">
        <v>232</v>
      </c>
      <c r="D228" s="19" t="s">
        <v>244</v>
      </c>
      <c r="E228" s="13" t="s">
        <v>79</v>
      </c>
      <c r="F228" s="7">
        <v>44645</v>
      </c>
      <c r="H228" s="2">
        <v>1</v>
      </c>
      <c r="I228" s="217" t="s">
        <v>79</v>
      </c>
    </row>
    <row r="229" spans="2:9" ht="21" customHeight="1" x14ac:dyDescent="0.3">
      <c r="B229" s="13" t="s">
        <v>267</v>
      </c>
      <c r="C229" s="13" t="s">
        <v>232</v>
      </c>
      <c r="D229" s="19" t="s">
        <v>241</v>
      </c>
      <c r="E229" s="13" t="s">
        <v>79</v>
      </c>
      <c r="F229" s="7">
        <v>44641</v>
      </c>
      <c r="H229" s="2">
        <v>1</v>
      </c>
      <c r="I229" s="217" t="s">
        <v>79</v>
      </c>
    </row>
    <row r="230" spans="2:9" ht="21" customHeight="1" x14ac:dyDescent="0.3">
      <c r="B230" s="13" t="s">
        <v>216</v>
      </c>
      <c r="C230" s="13" t="s">
        <v>233</v>
      </c>
      <c r="D230" s="19" t="s">
        <v>240</v>
      </c>
      <c r="E230" s="13" t="s">
        <v>79</v>
      </c>
      <c r="F230" s="7">
        <v>44624</v>
      </c>
      <c r="H230" s="2">
        <v>1</v>
      </c>
      <c r="I230" s="217" t="s">
        <v>79</v>
      </c>
    </row>
    <row r="231" spans="2:9" ht="21" customHeight="1" x14ac:dyDescent="0.3">
      <c r="B231" s="13" t="s">
        <v>216</v>
      </c>
      <c r="C231" s="13" t="s">
        <v>233</v>
      </c>
      <c r="D231" s="19" t="s">
        <v>240</v>
      </c>
      <c r="E231" s="13" t="s">
        <v>81</v>
      </c>
      <c r="F231" s="7">
        <v>44631</v>
      </c>
      <c r="H231" s="2">
        <v>0.5</v>
      </c>
      <c r="I231" s="217" t="s">
        <v>286</v>
      </c>
    </row>
    <row r="232" spans="2:9" ht="21" customHeight="1" x14ac:dyDescent="0.3">
      <c r="B232" s="13" t="s">
        <v>216</v>
      </c>
      <c r="C232" s="13" t="s">
        <v>233</v>
      </c>
      <c r="D232" s="19" t="s">
        <v>240</v>
      </c>
      <c r="E232" s="13" t="s">
        <v>79</v>
      </c>
      <c r="F232" s="7">
        <v>44637</v>
      </c>
      <c r="H232" s="2">
        <v>1</v>
      </c>
      <c r="I232" s="217" t="s">
        <v>287</v>
      </c>
    </row>
    <row r="233" spans="2:9" ht="21" customHeight="1" x14ac:dyDescent="0.3">
      <c r="B233" s="13" t="s">
        <v>228</v>
      </c>
      <c r="C233" s="13" t="s">
        <v>238</v>
      </c>
      <c r="D233" s="19" t="s">
        <v>246</v>
      </c>
      <c r="E233" s="13" t="s">
        <v>81</v>
      </c>
      <c r="F233" s="7">
        <v>44630</v>
      </c>
      <c r="H233" s="2">
        <v>0.5</v>
      </c>
      <c r="I233" s="217" t="s">
        <v>81</v>
      </c>
    </row>
    <row r="234" spans="2:9" ht="21" customHeight="1" x14ac:dyDescent="0.3">
      <c r="B234" s="13" t="s">
        <v>228</v>
      </c>
      <c r="C234" s="13" t="s">
        <v>238</v>
      </c>
      <c r="D234" s="19" t="s">
        <v>246</v>
      </c>
      <c r="E234" s="13" t="s">
        <v>79</v>
      </c>
      <c r="F234" s="7">
        <v>44645</v>
      </c>
      <c r="H234" s="2">
        <v>1</v>
      </c>
      <c r="I234" s="217" t="s">
        <v>79</v>
      </c>
    </row>
    <row r="235" spans="2:9" ht="21" customHeight="1" x14ac:dyDescent="0.3">
      <c r="B235" s="13" t="s">
        <v>265</v>
      </c>
      <c r="C235" s="13" t="s">
        <v>235</v>
      </c>
      <c r="D235" s="19" t="s">
        <v>246</v>
      </c>
      <c r="E235" s="13" t="s">
        <v>81</v>
      </c>
      <c r="F235" s="7">
        <v>44635</v>
      </c>
      <c r="H235" s="2">
        <v>0.5</v>
      </c>
      <c r="I235" s="217" t="s">
        <v>81</v>
      </c>
    </row>
    <row r="236" spans="2:9" ht="21" customHeight="1" x14ac:dyDescent="0.3">
      <c r="B236" s="13" t="s">
        <v>265</v>
      </c>
      <c r="C236" s="13" t="s">
        <v>235</v>
      </c>
      <c r="D236" s="19" t="s">
        <v>246</v>
      </c>
      <c r="E236" s="13" t="s">
        <v>79</v>
      </c>
      <c r="F236" s="7">
        <v>44641</v>
      </c>
      <c r="H236" s="2">
        <v>1</v>
      </c>
      <c r="I236" s="217" t="s">
        <v>79</v>
      </c>
    </row>
    <row r="237" spans="2:9" ht="21" customHeight="1" x14ac:dyDescent="0.3">
      <c r="B237" s="13" t="s">
        <v>275</v>
      </c>
      <c r="C237" s="13" t="s">
        <v>235</v>
      </c>
      <c r="D237" s="19" t="s">
        <v>246</v>
      </c>
      <c r="E237" s="13" t="s">
        <v>79</v>
      </c>
      <c r="F237" s="7">
        <v>44634</v>
      </c>
      <c r="H237" s="2">
        <v>1</v>
      </c>
      <c r="I237" s="217" t="s">
        <v>79</v>
      </c>
    </row>
    <row r="238" spans="2:9" ht="21" customHeight="1" x14ac:dyDescent="0.3">
      <c r="B238" s="13" t="s">
        <v>275</v>
      </c>
      <c r="C238" s="13" t="s">
        <v>235</v>
      </c>
      <c r="D238" s="19" t="s">
        <v>246</v>
      </c>
      <c r="E238" s="13" t="s">
        <v>81</v>
      </c>
      <c r="F238" s="7">
        <v>44635</v>
      </c>
      <c r="H238" s="2">
        <v>0.5</v>
      </c>
      <c r="I238" s="217" t="s">
        <v>81</v>
      </c>
    </row>
    <row r="239" spans="2:9" ht="21" customHeight="1" x14ac:dyDescent="0.3">
      <c r="B239" s="13" t="s">
        <v>275</v>
      </c>
      <c r="C239" s="13" t="s">
        <v>235</v>
      </c>
      <c r="D239" s="19" t="s">
        <v>246</v>
      </c>
      <c r="E239" s="13" t="s">
        <v>81</v>
      </c>
      <c r="F239" s="7">
        <v>44638</v>
      </c>
      <c r="H239" s="2">
        <v>0.5</v>
      </c>
      <c r="I239" s="217" t="s">
        <v>81</v>
      </c>
    </row>
    <row r="240" spans="2:9" ht="21" customHeight="1" x14ac:dyDescent="0.3">
      <c r="B240" s="13" t="s">
        <v>276</v>
      </c>
      <c r="C240" s="13" t="s">
        <v>235</v>
      </c>
      <c r="D240" s="19" t="s">
        <v>243</v>
      </c>
      <c r="E240" s="13" t="s">
        <v>81</v>
      </c>
      <c r="F240" s="7">
        <v>44636</v>
      </c>
      <c r="H240" s="2">
        <v>0.5</v>
      </c>
      <c r="I240" s="217" t="s">
        <v>81</v>
      </c>
    </row>
    <row r="241" spans="2:9" ht="21" customHeight="1" x14ac:dyDescent="0.3">
      <c r="B241" s="13" t="s">
        <v>289</v>
      </c>
      <c r="C241" s="13" t="s">
        <v>233</v>
      </c>
      <c r="D241" s="19" t="s">
        <v>246</v>
      </c>
      <c r="E241" s="13" t="s">
        <v>79</v>
      </c>
      <c r="F241" s="7">
        <v>44638</v>
      </c>
      <c r="H241" s="2">
        <v>1</v>
      </c>
      <c r="I241" s="217" t="s">
        <v>79</v>
      </c>
    </row>
    <row r="242" spans="2:9" ht="21" customHeight="1" x14ac:dyDescent="0.3">
      <c r="B242" s="13" t="s">
        <v>310</v>
      </c>
      <c r="C242" s="13" t="s">
        <v>232</v>
      </c>
      <c r="D242" s="19" t="s">
        <v>240</v>
      </c>
      <c r="E242" s="13" t="s">
        <v>79</v>
      </c>
      <c r="F242" s="7">
        <v>44659</v>
      </c>
      <c r="H242" s="2">
        <v>1</v>
      </c>
      <c r="I242" s="217" t="s">
        <v>79</v>
      </c>
    </row>
    <row r="243" spans="2:9" ht="21" customHeight="1" x14ac:dyDescent="0.3">
      <c r="B243" s="13" t="s">
        <v>310</v>
      </c>
      <c r="C243" s="13" t="s">
        <v>232</v>
      </c>
      <c r="D243" s="19" t="s">
        <v>240</v>
      </c>
      <c r="E243" s="13" t="s">
        <v>79</v>
      </c>
      <c r="F243" s="7">
        <v>44662</v>
      </c>
      <c r="H243" s="2">
        <v>1</v>
      </c>
      <c r="I243" s="217" t="s">
        <v>79</v>
      </c>
    </row>
    <row r="244" spans="2:9" ht="21" customHeight="1" x14ac:dyDescent="0.3">
      <c r="B244" s="13" t="s">
        <v>310</v>
      </c>
      <c r="C244" s="13" t="s">
        <v>232</v>
      </c>
      <c r="D244" s="19" t="s">
        <v>240</v>
      </c>
      <c r="E244" s="13" t="s">
        <v>79</v>
      </c>
      <c r="F244" s="7">
        <v>44671</v>
      </c>
      <c r="H244" s="2">
        <v>1</v>
      </c>
      <c r="I244" s="217" t="s">
        <v>303</v>
      </c>
    </row>
    <row r="245" spans="2:9" ht="21" customHeight="1" x14ac:dyDescent="0.3">
      <c r="B245" s="13" t="s">
        <v>310</v>
      </c>
      <c r="C245" s="13" t="s">
        <v>232</v>
      </c>
      <c r="D245" s="19" t="s">
        <v>240</v>
      </c>
      <c r="E245" s="13" t="s">
        <v>79</v>
      </c>
      <c r="F245" s="7">
        <v>44672</v>
      </c>
      <c r="H245" s="2">
        <v>1</v>
      </c>
      <c r="I245" s="217" t="s">
        <v>303</v>
      </c>
    </row>
    <row r="246" spans="2:9" ht="21" customHeight="1" x14ac:dyDescent="0.3">
      <c r="B246" s="13" t="s">
        <v>310</v>
      </c>
      <c r="C246" s="13" t="s">
        <v>232</v>
      </c>
      <c r="D246" s="19" t="s">
        <v>240</v>
      </c>
      <c r="E246" s="13" t="s">
        <v>79</v>
      </c>
      <c r="F246" s="7">
        <v>44673</v>
      </c>
      <c r="H246" s="2">
        <v>1</v>
      </c>
      <c r="I246" s="217" t="s">
        <v>303</v>
      </c>
    </row>
    <row r="247" spans="2:9" ht="21" customHeight="1" x14ac:dyDescent="0.3">
      <c r="B247" s="13" t="s">
        <v>267</v>
      </c>
      <c r="C247" s="13" t="s">
        <v>232</v>
      </c>
      <c r="D247" s="19" t="s">
        <v>241</v>
      </c>
      <c r="E247" s="13" t="s">
        <v>79</v>
      </c>
      <c r="F247" s="7">
        <v>44676</v>
      </c>
      <c r="H247" s="2">
        <v>1</v>
      </c>
      <c r="I247" s="217" t="s">
        <v>79</v>
      </c>
    </row>
    <row r="248" spans="2:9" ht="21" customHeight="1" x14ac:dyDescent="0.3">
      <c r="B248" s="13" t="s">
        <v>277</v>
      </c>
      <c r="C248" s="13" t="s">
        <v>232</v>
      </c>
      <c r="D248" s="19" t="s">
        <v>246</v>
      </c>
      <c r="E248" s="13" t="s">
        <v>79</v>
      </c>
      <c r="F248" s="7">
        <v>44669</v>
      </c>
      <c r="H248" s="2">
        <v>1</v>
      </c>
      <c r="I248" s="217" t="s">
        <v>79</v>
      </c>
    </row>
    <row r="249" spans="2:9" ht="21" customHeight="1" x14ac:dyDescent="0.3">
      <c r="B249" s="13" t="s">
        <v>277</v>
      </c>
      <c r="C249" s="13" t="s">
        <v>232</v>
      </c>
      <c r="D249" s="19" t="s">
        <v>246</v>
      </c>
      <c r="E249" s="13" t="s">
        <v>79</v>
      </c>
      <c r="F249" s="7">
        <v>44670</v>
      </c>
      <c r="H249" s="2">
        <v>1</v>
      </c>
      <c r="I249" s="217" t="s">
        <v>79</v>
      </c>
    </row>
    <row r="250" spans="2:9" ht="21" customHeight="1" x14ac:dyDescent="0.3">
      <c r="B250" s="13" t="s">
        <v>291</v>
      </c>
      <c r="C250" s="13" t="s">
        <v>232</v>
      </c>
      <c r="D250" s="19" t="s">
        <v>241</v>
      </c>
      <c r="E250" s="13" t="s">
        <v>79</v>
      </c>
      <c r="F250" s="7">
        <v>44652</v>
      </c>
      <c r="H250" s="2">
        <v>1</v>
      </c>
      <c r="I250" s="217" t="s">
        <v>304</v>
      </c>
    </row>
    <row r="251" spans="2:9" ht="21" customHeight="1" x14ac:dyDescent="0.3">
      <c r="B251" s="13" t="s">
        <v>291</v>
      </c>
      <c r="C251" s="13" t="s">
        <v>232</v>
      </c>
      <c r="D251" s="19" t="s">
        <v>241</v>
      </c>
      <c r="E251" s="13" t="s">
        <v>79</v>
      </c>
      <c r="F251" s="7">
        <v>44655</v>
      </c>
      <c r="H251" s="2">
        <v>1</v>
      </c>
      <c r="I251" s="217" t="s">
        <v>304</v>
      </c>
    </row>
    <row r="252" spans="2:9" ht="21" customHeight="1" x14ac:dyDescent="0.3">
      <c r="B252" s="13" t="s">
        <v>216</v>
      </c>
      <c r="C252" s="13" t="s">
        <v>233</v>
      </c>
      <c r="D252" s="19" t="s">
        <v>240</v>
      </c>
      <c r="E252" s="13" t="s">
        <v>79</v>
      </c>
      <c r="F252" s="7">
        <v>44664</v>
      </c>
      <c r="H252" s="2">
        <v>1</v>
      </c>
      <c r="I252" s="217" t="s">
        <v>305</v>
      </c>
    </row>
    <row r="253" spans="2:9" ht="21" customHeight="1" x14ac:dyDescent="0.3">
      <c r="B253" s="13" t="s">
        <v>219</v>
      </c>
      <c r="C253" s="13" t="s">
        <v>233</v>
      </c>
      <c r="D253" s="19" t="s">
        <v>241</v>
      </c>
      <c r="E253" s="13" t="s">
        <v>79</v>
      </c>
      <c r="F253" s="7">
        <v>44666</v>
      </c>
      <c r="H253" s="2">
        <v>1</v>
      </c>
      <c r="I253" s="217" t="s">
        <v>79</v>
      </c>
    </row>
    <row r="254" spans="2:9" ht="21" customHeight="1" x14ac:dyDescent="0.3">
      <c r="B254" s="13" t="s">
        <v>228</v>
      </c>
      <c r="C254" s="13" t="s">
        <v>233</v>
      </c>
      <c r="D254" s="19" t="s">
        <v>246</v>
      </c>
      <c r="E254" s="13" t="s">
        <v>79</v>
      </c>
      <c r="F254" s="7">
        <v>44678</v>
      </c>
      <c r="H254" s="2">
        <v>1</v>
      </c>
      <c r="I254" s="217" t="s">
        <v>79</v>
      </c>
    </row>
    <row r="255" spans="2:9" ht="21" customHeight="1" x14ac:dyDescent="0.3">
      <c r="B255" s="13" t="s">
        <v>265</v>
      </c>
      <c r="C255" s="13" t="s">
        <v>235</v>
      </c>
      <c r="D255" s="19" t="s">
        <v>246</v>
      </c>
      <c r="E255" s="13" t="s">
        <v>79</v>
      </c>
      <c r="F255" s="7">
        <v>44669</v>
      </c>
      <c r="H255" s="2">
        <v>1</v>
      </c>
      <c r="I255" s="217" t="s">
        <v>79</v>
      </c>
    </row>
    <row r="256" spans="2:9" ht="21" customHeight="1" x14ac:dyDescent="0.3">
      <c r="B256" s="13" t="s">
        <v>265</v>
      </c>
      <c r="C256" s="13" t="s">
        <v>235</v>
      </c>
      <c r="D256" s="19" t="s">
        <v>246</v>
      </c>
      <c r="E256" s="13" t="s">
        <v>79</v>
      </c>
      <c r="F256" s="7">
        <v>44677</v>
      </c>
      <c r="H256" s="2">
        <v>1</v>
      </c>
      <c r="I256" s="217" t="s">
        <v>306</v>
      </c>
    </row>
    <row r="257" spans="2:9" ht="21" customHeight="1" x14ac:dyDescent="0.3">
      <c r="B257" s="13" t="s">
        <v>265</v>
      </c>
      <c r="C257" s="13" t="s">
        <v>235</v>
      </c>
      <c r="D257" s="19" t="s">
        <v>246</v>
      </c>
      <c r="E257" s="13" t="s">
        <v>79</v>
      </c>
      <c r="F257" s="7">
        <v>44678</v>
      </c>
      <c r="H257" s="2">
        <v>1</v>
      </c>
      <c r="I257" s="217" t="s">
        <v>306</v>
      </c>
    </row>
    <row r="258" spans="2:9" ht="21" customHeight="1" x14ac:dyDescent="0.3">
      <c r="B258" s="13" t="s">
        <v>265</v>
      </c>
      <c r="C258" s="13" t="s">
        <v>235</v>
      </c>
      <c r="D258" s="19" t="s">
        <v>246</v>
      </c>
      <c r="E258" s="13" t="s">
        <v>79</v>
      </c>
      <c r="F258" s="7">
        <v>44679</v>
      </c>
      <c r="H258" s="2">
        <v>1</v>
      </c>
      <c r="I258" s="217" t="s">
        <v>306</v>
      </c>
    </row>
    <row r="259" spans="2:9" ht="21" customHeight="1" x14ac:dyDescent="0.3">
      <c r="B259" s="13" t="s">
        <v>265</v>
      </c>
      <c r="C259" s="13" t="s">
        <v>235</v>
      </c>
      <c r="D259" s="19" t="s">
        <v>246</v>
      </c>
      <c r="E259" s="13" t="s">
        <v>79</v>
      </c>
      <c r="F259" s="7">
        <v>44680</v>
      </c>
      <c r="H259" s="2">
        <v>1</v>
      </c>
      <c r="I259" s="217" t="s">
        <v>306</v>
      </c>
    </row>
    <row r="260" spans="2:9" ht="21" customHeight="1" x14ac:dyDescent="0.3">
      <c r="B260" s="13" t="s">
        <v>275</v>
      </c>
      <c r="C260" s="13" t="s">
        <v>235</v>
      </c>
      <c r="D260" s="19" t="s">
        <v>246</v>
      </c>
      <c r="E260" s="13" t="s">
        <v>79</v>
      </c>
      <c r="F260" s="7">
        <v>44673</v>
      </c>
      <c r="H260" s="2">
        <v>1</v>
      </c>
      <c r="I260" s="217" t="s">
        <v>79</v>
      </c>
    </row>
    <row r="261" spans="2:9" ht="21" customHeight="1" x14ac:dyDescent="0.3">
      <c r="B261" s="13" t="s">
        <v>276</v>
      </c>
      <c r="C261" s="13" t="s">
        <v>235</v>
      </c>
      <c r="D261" s="19" t="s">
        <v>243</v>
      </c>
      <c r="E261" s="13" t="s">
        <v>79</v>
      </c>
      <c r="F261" s="7">
        <v>44657</v>
      </c>
      <c r="H261" s="2">
        <v>1</v>
      </c>
      <c r="I261" s="217" t="s">
        <v>79</v>
      </c>
    </row>
    <row r="262" spans="2:9" ht="21" customHeight="1" x14ac:dyDescent="0.3">
      <c r="B262" s="13" t="s">
        <v>229</v>
      </c>
      <c r="C262" s="13" t="s">
        <v>232</v>
      </c>
      <c r="D262" s="19" t="s">
        <v>244</v>
      </c>
      <c r="E262" s="13" t="s">
        <v>79</v>
      </c>
      <c r="F262" s="7">
        <v>44687</v>
      </c>
      <c r="H262" s="2">
        <v>1</v>
      </c>
      <c r="I262" s="217"/>
    </row>
    <row r="263" spans="2:9" ht="21" customHeight="1" x14ac:dyDescent="0.3">
      <c r="B263" s="13" t="s">
        <v>267</v>
      </c>
      <c r="C263" s="13" t="s">
        <v>232</v>
      </c>
      <c r="D263" s="19" t="s">
        <v>241</v>
      </c>
      <c r="E263" s="13" t="s">
        <v>79</v>
      </c>
      <c r="F263" s="7">
        <v>44694</v>
      </c>
      <c r="H263" s="2">
        <v>1</v>
      </c>
      <c r="I263" s="217"/>
    </row>
    <row r="264" spans="2:9" ht="21" customHeight="1" x14ac:dyDescent="0.3">
      <c r="B264" s="13" t="s">
        <v>267</v>
      </c>
      <c r="C264" s="13" t="s">
        <v>232</v>
      </c>
      <c r="D264" s="19" t="s">
        <v>241</v>
      </c>
      <c r="E264" s="13" t="s">
        <v>79</v>
      </c>
      <c r="F264" s="7">
        <v>44698</v>
      </c>
      <c r="H264" s="2">
        <v>1</v>
      </c>
      <c r="I264" s="217"/>
    </row>
    <row r="265" spans="2:9" ht="21" customHeight="1" x14ac:dyDescent="0.3">
      <c r="B265" s="13" t="s">
        <v>267</v>
      </c>
      <c r="C265" s="13" t="s">
        <v>232</v>
      </c>
      <c r="D265" s="19" t="s">
        <v>241</v>
      </c>
      <c r="E265" s="13" t="s">
        <v>79</v>
      </c>
      <c r="F265" s="7">
        <v>44711</v>
      </c>
      <c r="H265" s="2">
        <v>1</v>
      </c>
      <c r="I265" s="217"/>
    </row>
    <row r="266" spans="2:9" ht="21" customHeight="1" x14ac:dyDescent="0.3">
      <c r="B266" s="13" t="s">
        <v>277</v>
      </c>
      <c r="C266" s="13" t="s">
        <v>232</v>
      </c>
      <c r="D266" s="19" t="s">
        <v>246</v>
      </c>
      <c r="E266" s="13" t="s">
        <v>79</v>
      </c>
      <c r="F266" s="7">
        <v>44690</v>
      </c>
      <c r="H266" s="2">
        <v>1</v>
      </c>
      <c r="I266" s="217"/>
    </row>
    <row r="267" spans="2:9" ht="21" customHeight="1" x14ac:dyDescent="0.3">
      <c r="B267" s="13" t="s">
        <v>219</v>
      </c>
      <c r="C267" s="13" t="s">
        <v>233</v>
      </c>
      <c r="D267" s="19" t="s">
        <v>241</v>
      </c>
      <c r="E267" s="13" t="s">
        <v>79</v>
      </c>
      <c r="F267" s="7">
        <v>44708</v>
      </c>
      <c r="H267" s="2">
        <v>1</v>
      </c>
      <c r="I267" s="217"/>
    </row>
    <row r="268" spans="2:9" ht="21" customHeight="1" x14ac:dyDescent="0.3">
      <c r="B268" s="13" t="s">
        <v>289</v>
      </c>
      <c r="C268" s="13" t="s">
        <v>233</v>
      </c>
      <c r="D268" s="19" t="s">
        <v>246</v>
      </c>
      <c r="E268" s="13" t="s">
        <v>79</v>
      </c>
      <c r="F268" s="7">
        <v>44687</v>
      </c>
      <c r="H268" s="2">
        <v>1</v>
      </c>
      <c r="I268" s="217"/>
    </row>
    <row r="269" spans="2:9" ht="21" customHeight="1" x14ac:dyDescent="0.3">
      <c r="B269" s="13" t="s">
        <v>289</v>
      </c>
      <c r="C269" s="13" t="s">
        <v>233</v>
      </c>
      <c r="D269" s="19" t="s">
        <v>246</v>
      </c>
      <c r="E269" s="13" t="s">
        <v>79</v>
      </c>
      <c r="F269" s="7">
        <v>44704</v>
      </c>
      <c r="H269" s="2">
        <v>1</v>
      </c>
      <c r="I269" s="217"/>
    </row>
    <row r="270" spans="2:9" ht="21" customHeight="1" x14ac:dyDescent="0.3">
      <c r="B270" s="13" t="s">
        <v>289</v>
      </c>
      <c r="C270" s="13" t="s">
        <v>233</v>
      </c>
      <c r="D270" s="19" t="s">
        <v>246</v>
      </c>
      <c r="E270" s="13" t="s">
        <v>79</v>
      </c>
      <c r="F270" s="7">
        <v>44711</v>
      </c>
      <c r="H270" s="2">
        <v>1</v>
      </c>
      <c r="I270" s="217"/>
    </row>
    <row r="271" spans="2:9" ht="21" customHeight="1" x14ac:dyDescent="0.3">
      <c r="B271" s="13" t="s">
        <v>289</v>
      </c>
      <c r="C271" s="13" t="s">
        <v>233</v>
      </c>
      <c r="D271" s="19" t="s">
        <v>246</v>
      </c>
      <c r="E271" s="13" t="s">
        <v>79</v>
      </c>
      <c r="F271" s="7">
        <v>44712</v>
      </c>
      <c r="H271" s="2">
        <v>1</v>
      </c>
      <c r="I271" s="217"/>
    </row>
    <row r="272" spans="2:9" ht="21" customHeight="1" x14ac:dyDescent="0.3">
      <c r="B272" s="13" t="s">
        <v>265</v>
      </c>
      <c r="C272" s="13" t="s">
        <v>235</v>
      </c>
      <c r="D272" s="19" t="s">
        <v>246</v>
      </c>
      <c r="E272" s="13" t="s">
        <v>79</v>
      </c>
      <c r="F272" s="7">
        <v>44697</v>
      </c>
      <c r="H272" s="2">
        <v>1</v>
      </c>
      <c r="I272" s="217"/>
    </row>
    <row r="273" spans="2:10" ht="21" customHeight="1" x14ac:dyDescent="0.3">
      <c r="B273" s="13" t="s">
        <v>276</v>
      </c>
      <c r="C273" s="13" t="s">
        <v>235</v>
      </c>
      <c r="D273" s="19" t="s">
        <v>243</v>
      </c>
      <c r="E273" s="13" t="s">
        <v>79</v>
      </c>
      <c r="F273" s="7">
        <v>44699</v>
      </c>
      <c r="H273" s="2">
        <v>1</v>
      </c>
      <c r="I273" s="217"/>
      <c r="J273" s="16" t="s">
        <v>308</v>
      </c>
    </row>
    <row r="274" spans="2:10" ht="21" customHeight="1" x14ac:dyDescent="0.3">
      <c r="B274" s="13" t="s">
        <v>229</v>
      </c>
      <c r="C274" s="13" t="s">
        <v>232</v>
      </c>
      <c r="D274" s="19" t="s">
        <v>244</v>
      </c>
      <c r="E274" s="13" t="s">
        <v>79</v>
      </c>
      <c r="F274" s="7">
        <v>44732</v>
      </c>
      <c r="H274" s="2">
        <v>1</v>
      </c>
      <c r="I274" s="217"/>
    </row>
    <row r="275" spans="2:10" ht="21" customHeight="1" x14ac:dyDescent="0.3">
      <c r="B275" s="13" t="s">
        <v>267</v>
      </c>
      <c r="C275" s="13" t="s">
        <v>232</v>
      </c>
      <c r="D275" s="19" t="s">
        <v>241</v>
      </c>
      <c r="E275" s="13" t="s">
        <v>79</v>
      </c>
      <c r="F275" s="7">
        <v>44722</v>
      </c>
      <c r="H275" s="2">
        <v>1</v>
      </c>
      <c r="I275" s="217"/>
    </row>
    <row r="276" spans="2:10" ht="21" customHeight="1" x14ac:dyDescent="0.3">
      <c r="B276" s="13" t="s">
        <v>291</v>
      </c>
      <c r="C276" s="13" t="s">
        <v>232</v>
      </c>
      <c r="D276" s="19" t="s">
        <v>241</v>
      </c>
      <c r="E276" s="13" t="s">
        <v>79</v>
      </c>
      <c r="F276" s="7">
        <v>44736</v>
      </c>
      <c r="H276" s="2">
        <v>1</v>
      </c>
      <c r="I276" s="217"/>
    </row>
    <row r="277" spans="2:10" ht="21" customHeight="1" x14ac:dyDescent="0.3">
      <c r="B277" s="13" t="s">
        <v>309</v>
      </c>
      <c r="C277" s="13" t="s">
        <v>232</v>
      </c>
      <c r="D277" s="19" t="s">
        <v>244</v>
      </c>
      <c r="E277" s="13" t="s">
        <v>79</v>
      </c>
      <c r="F277" s="7">
        <v>44728</v>
      </c>
      <c r="H277" s="2">
        <v>1</v>
      </c>
      <c r="I277" s="217"/>
    </row>
    <row r="278" spans="2:10" ht="21" customHeight="1" x14ac:dyDescent="0.3">
      <c r="B278" s="13" t="s">
        <v>228</v>
      </c>
      <c r="C278" s="13" t="s">
        <v>233</v>
      </c>
      <c r="D278" s="19" t="s">
        <v>246</v>
      </c>
      <c r="E278" s="13" t="s">
        <v>79</v>
      </c>
      <c r="F278" s="7">
        <v>44715</v>
      </c>
      <c r="H278" s="2">
        <v>1</v>
      </c>
      <c r="I278" s="217"/>
    </row>
    <row r="279" spans="2:10" ht="21" customHeight="1" x14ac:dyDescent="0.3">
      <c r="B279" s="13" t="s">
        <v>228</v>
      </c>
      <c r="C279" s="13" t="s">
        <v>233</v>
      </c>
      <c r="D279" s="19" t="s">
        <v>246</v>
      </c>
      <c r="E279" s="13" t="s">
        <v>79</v>
      </c>
      <c r="F279" s="7">
        <v>44739</v>
      </c>
      <c r="H279" s="2">
        <v>1</v>
      </c>
      <c r="I279" s="217"/>
    </row>
    <row r="280" spans="2:10" ht="21" customHeight="1" x14ac:dyDescent="0.3">
      <c r="B280" s="13" t="s">
        <v>265</v>
      </c>
      <c r="C280" s="13" t="s">
        <v>235</v>
      </c>
      <c r="D280" s="19" t="s">
        <v>246</v>
      </c>
      <c r="E280" s="13" t="s">
        <v>79</v>
      </c>
      <c r="F280" s="7">
        <v>44725</v>
      </c>
      <c r="H280" s="2">
        <v>1</v>
      </c>
      <c r="I280" s="217"/>
    </row>
    <row r="281" spans="2:10" ht="21" customHeight="1" x14ac:dyDescent="0.3">
      <c r="B281" s="13" t="s">
        <v>275</v>
      </c>
      <c r="C281" s="13" t="s">
        <v>235</v>
      </c>
      <c r="D281" s="19" t="s">
        <v>246</v>
      </c>
      <c r="E281" s="13" t="s">
        <v>81</v>
      </c>
      <c r="F281" s="7">
        <v>44725</v>
      </c>
      <c r="H281" s="2">
        <v>0.5</v>
      </c>
      <c r="I281" s="217"/>
    </row>
    <row r="282" spans="2:10" ht="21" customHeight="1" x14ac:dyDescent="0.3">
      <c r="B282" s="13" t="s">
        <v>275</v>
      </c>
      <c r="C282" s="13" t="s">
        <v>235</v>
      </c>
      <c r="D282" s="19" t="s">
        <v>246</v>
      </c>
      <c r="E282" s="13" t="s">
        <v>81</v>
      </c>
      <c r="F282" s="7">
        <v>44729</v>
      </c>
      <c r="H282" s="2">
        <v>0.5</v>
      </c>
      <c r="I282" s="217"/>
    </row>
    <row r="283" spans="2:10" ht="21" customHeight="1" x14ac:dyDescent="0.3">
      <c r="B283" s="13" t="s">
        <v>276</v>
      </c>
      <c r="C283" s="13" t="s">
        <v>235</v>
      </c>
      <c r="D283" s="19" t="s">
        <v>243</v>
      </c>
      <c r="E283" s="13" t="s">
        <v>81</v>
      </c>
      <c r="F283" s="7">
        <v>44728</v>
      </c>
      <c r="H283" s="2">
        <v>0.5</v>
      </c>
      <c r="I283" s="217"/>
    </row>
    <row r="284" spans="2:10" ht="21" customHeight="1" x14ac:dyDescent="0.3">
      <c r="B284" s="13" t="s">
        <v>276</v>
      </c>
      <c r="C284" s="13" t="s">
        <v>235</v>
      </c>
      <c r="D284" s="19" t="s">
        <v>243</v>
      </c>
      <c r="E284" s="13" t="s">
        <v>79</v>
      </c>
      <c r="F284" s="7">
        <v>44727</v>
      </c>
      <c r="H284" s="2">
        <v>1</v>
      </c>
      <c r="I284" s="217"/>
    </row>
    <row r="285" spans="2:10" ht="21" customHeight="1" x14ac:dyDescent="0.3">
      <c r="B285" s="13" t="s">
        <v>276</v>
      </c>
      <c r="C285" s="13" t="s">
        <v>235</v>
      </c>
      <c r="D285" s="19" t="s">
        <v>243</v>
      </c>
      <c r="E285" s="13" t="s">
        <v>79</v>
      </c>
      <c r="F285" s="7">
        <v>44734</v>
      </c>
      <c r="H285" s="2">
        <v>1</v>
      </c>
      <c r="I285" s="217"/>
    </row>
    <row r="286" spans="2:10" ht="21" customHeight="1" x14ac:dyDescent="0.3">
      <c r="B286" s="13" t="s">
        <v>217</v>
      </c>
      <c r="C286" s="13" t="s">
        <v>232</v>
      </c>
      <c r="D286" s="19" t="s">
        <v>240</v>
      </c>
      <c r="E286" s="13" t="s">
        <v>79</v>
      </c>
      <c r="F286" s="7">
        <v>44749</v>
      </c>
      <c r="H286" s="2">
        <v>1</v>
      </c>
      <c r="I286" s="217" t="s">
        <v>79</v>
      </c>
    </row>
    <row r="287" spans="2:10" ht="21" customHeight="1" x14ac:dyDescent="0.3">
      <c r="B287" s="13" t="s">
        <v>217</v>
      </c>
      <c r="C287" s="13" t="s">
        <v>232</v>
      </c>
      <c r="D287" s="19" t="s">
        <v>240</v>
      </c>
      <c r="E287" s="13" t="s">
        <v>79</v>
      </c>
      <c r="F287" s="7">
        <v>44769</v>
      </c>
      <c r="H287" s="2">
        <v>1</v>
      </c>
      <c r="I287" s="217" t="s">
        <v>264</v>
      </c>
    </row>
    <row r="288" spans="2:10" ht="21" customHeight="1" x14ac:dyDescent="0.3">
      <c r="B288" s="13" t="s">
        <v>217</v>
      </c>
      <c r="C288" s="13" t="s">
        <v>232</v>
      </c>
      <c r="D288" s="19" t="s">
        <v>240</v>
      </c>
      <c r="E288" s="13" t="s">
        <v>79</v>
      </c>
      <c r="F288" s="7">
        <v>44770</v>
      </c>
      <c r="H288" s="2">
        <v>1</v>
      </c>
      <c r="I288" s="217" t="s">
        <v>264</v>
      </c>
    </row>
    <row r="289" spans="2:10" ht="21" customHeight="1" x14ac:dyDescent="0.3">
      <c r="B289" s="13" t="s">
        <v>217</v>
      </c>
      <c r="C289" s="13" t="s">
        <v>232</v>
      </c>
      <c r="D289" s="19" t="s">
        <v>240</v>
      </c>
      <c r="E289" s="13" t="s">
        <v>79</v>
      </c>
      <c r="F289" s="7">
        <v>44771</v>
      </c>
      <c r="H289" s="2">
        <v>1</v>
      </c>
      <c r="I289" s="217" t="s">
        <v>264</v>
      </c>
    </row>
    <row r="290" spans="2:10" ht="21" customHeight="1" x14ac:dyDescent="0.3">
      <c r="B290" s="13" t="s">
        <v>229</v>
      </c>
      <c r="C290" s="13" t="s">
        <v>232</v>
      </c>
      <c r="D290" s="19" t="s">
        <v>244</v>
      </c>
      <c r="E290" s="13" t="s">
        <v>79</v>
      </c>
      <c r="F290" s="7">
        <v>44767</v>
      </c>
      <c r="H290" s="2">
        <v>1</v>
      </c>
      <c r="I290" s="217" t="s">
        <v>283</v>
      </c>
    </row>
    <row r="291" spans="2:10" ht="21" customHeight="1" x14ac:dyDescent="0.3">
      <c r="B291" s="13" t="s">
        <v>267</v>
      </c>
      <c r="C291" s="13" t="s">
        <v>232</v>
      </c>
      <c r="D291" s="19" t="s">
        <v>241</v>
      </c>
      <c r="E291" s="13" t="s">
        <v>79</v>
      </c>
      <c r="F291" s="7">
        <v>44750</v>
      </c>
      <c r="H291" s="2">
        <v>1</v>
      </c>
      <c r="I291" s="217" t="s">
        <v>283</v>
      </c>
    </row>
    <row r="292" spans="2:10" ht="21" customHeight="1" x14ac:dyDescent="0.3">
      <c r="B292" s="13" t="s">
        <v>267</v>
      </c>
      <c r="C292" s="13" t="s">
        <v>232</v>
      </c>
      <c r="D292" s="19" t="s">
        <v>241</v>
      </c>
      <c r="E292" s="13" t="s">
        <v>79</v>
      </c>
      <c r="F292" s="7">
        <v>44769</v>
      </c>
      <c r="H292" s="2">
        <v>1</v>
      </c>
      <c r="I292" s="217" t="s">
        <v>264</v>
      </c>
    </row>
    <row r="293" spans="2:10" ht="21" customHeight="1" x14ac:dyDescent="0.3">
      <c r="B293" s="13" t="s">
        <v>267</v>
      </c>
      <c r="C293" s="13" t="s">
        <v>232</v>
      </c>
      <c r="D293" s="19" t="s">
        <v>241</v>
      </c>
      <c r="E293" s="13" t="s">
        <v>79</v>
      </c>
      <c r="F293" s="7">
        <v>44770</v>
      </c>
      <c r="H293" s="2">
        <v>1</v>
      </c>
      <c r="I293" s="217" t="s">
        <v>264</v>
      </c>
    </row>
    <row r="294" spans="2:10" ht="21" customHeight="1" x14ac:dyDescent="0.3">
      <c r="B294" s="13" t="s">
        <v>267</v>
      </c>
      <c r="C294" s="13" t="s">
        <v>232</v>
      </c>
      <c r="D294" s="19" t="s">
        <v>241</v>
      </c>
      <c r="E294" s="13" t="s">
        <v>79</v>
      </c>
      <c r="F294" s="7">
        <v>44771</v>
      </c>
      <c r="H294" s="2">
        <v>1</v>
      </c>
      <c r="I294" s="217" t="s">
        <v>264</v>
      </c>
    </row>
    <row r="295" spans="2:10" ht="21" customHeight="1" x14ac:dyDescent="0.3">
      <c r="B295" s="13" t="s">
        <v>277</v>
      </c>
      <c r="C295" s="13" t="s">
        <v>232</v>
      </c>
      <c r="D295" s="19" t="s">
        <v>246</v>
      </c>
      <c r="E295" s="13" t="s">
        <v>79</v>
      </c>
      <c r="F295" s="7">
        <v>44746</v>
      </c>
      <c r="H295" s="2">
        <v>1</v>
      </c>
      <c r="I295" s="217"/>
    </row>
    <row r="296" spans="2:10" ht="21" customHeight="1" x14ac:dyDescent="0.3">
      <c r="B296" s="13" t="s">
        <v>311</v>
      </c>
      <c r="C296" s="13" t="s">
        <v>232</v>
      </c>
      <c r="D296" s="19" t="s">
        <v>241</v>
      </c>
      <c r="E296" s="13" t="s">
        <v>79</v>
      </c>
      <c r="F296" s="7">
        <v>44770</v>
      </c>
      <c r="H296" s="2">
        <v>1</v>
      </c>
      <c r="I296" s="217" t="s">
        <v>264</v>
      </c>
    </row>
    <row r="297" spans="2:10" ht="21" customHeight="1" x14ac:dyDescent="0.3">
      <c r="B297" s="13" t="s">
        <v>311</v>
      </c>
      <c r="C297" s="13" t="s">
        <v>232</v>
      </c>
      <c r="D297" s="19" t="s">
        <v>241</v>
      </c>
      <c r="E297" s="13" t="s">
        <v>79</v>
      </c>
      <c r="F297" s="7">
        <v>44771</v>
      </c>
      <c r="H297" s="2">
        <v>1</v>
      </c>
      <c r="I297" s="217" t="s">
        <v>264</v>
      </c>
    </row>
    <row r="298" spans="2:10" ht="21" customHeight="1" x14ac:dyDescent="0.3">
      <c r="B298" s="13" t="s">
        <v>309</v>
      </c>
      <c r="C298" s="13" t="s">
        <v>232</v>
      </c>
      <c r="D298" s="19" t="s">
        <v>244</v>
      </c>
      <c r="E298" s="13" t="s">
        <v>79</v>
      </c>
      <c r="F298" s="7">
        <v>44770</v>
      </c>
      <c r="H298" s="2">
        <v>1</v>
      </c>
      <c r="I298" s="217" t="s">
        <v>264</v>
      </c>
    </row>
    <row r="299" spans="2:10" ht="21" customHeight="1" x14ac:dyDescent="0.3">
      <c r="B299" s="13" t="s">
        <v>309</v>
      </c>
      <c r="C299" s="13" t="s">
        <v>232</v>
      </c>
      <c r="D299" s="19" t="s">
        <v>244</v>
      </c>
      <c r="E299" s="13" t="s">
        <v>79</v>
      </c>
      <c r="F299" s="7">
        <v>44771</v>
      </c>
      <c r="H299" s="2">
        <v>1</v>
      </c>
      <c r="I299" s="217" t="s">
        <v>264</v>
      </c>
    </row>
    <row r="300" spans="2:10" ht="21" customHeight="1" x14ac:dyDescent="0.3">
      <c r="B300" s="13" t="s">
        <v>309</v>
      </c>
      <c r="C300" s="13" t="s">
        <v>232</v>
      </c>
      <c r="D300" s="19" t="s">
        <v>244</v>
      </c>
      <c r="E300" s="13" t="s">
        <v>79</v>
      </c>
      <c r="F300" s="7">
        <v>44753</v>
      </c>
      <c r="H300" s="2">
        <v>1</v>
      </c>
      <c r="I300" s="217" t="s">
        <v>283</v>
      </c>
    </row>
    <row r="301" spans="2:10" ht="21" customHeight="1" x14ac:dyDescent="0.3">
      <c r="B301" s="13" t="s">
        <v>219</v>
      </c>
      <c r="C301" s="13" t="s">
        <v>233</v>
      </c>
      <c r="D301" s="19" t="s">
        <v>241</v>
      </c>
      <c r="E301" s="13" t="s">
        <v>79</v>
      </c>
      <c r="F301" s="7">
        <v>44762</v>
      </c>
      <c r="H301" s="2">
        <v>1</v>
      </c>
      <c r="I301" s="217" t="s">
        <v>283</v>
      </c>
    </row>
    <row r="302" spans="2:10" ht="21" customHeight="1" x14ac:dyDescent="0.3">
      <c r="B302" s="13" t="s">
        <v>289</v>
      </c>
      <c r="C302" s="13" t="s">
        <v>233</v>
      </c>
      <c r="D302" s="19" t="s">
        <v>246</v>
      </c>
      <c r="E302" s="13" t="s">
        <v>79</v>
      </c>
      <c r="F302" s="7">
        <v>44760</v>
      </c>
      <c r="H302" s="2">
        <v>1</v>
      </c>
      <c r="I302" s="217" t="s">
        <v>283</v>
      </c>
    </row>
    <row r="303" spans="2:10" ht="21" customHeight="1" x14ac:dyDescent="0.3">
      <c r="B303" s="13" t="s">
        <v>265</v>
      </c>
      <c r="C303" s="13" t="s">
        <v>235</v>
      </c>
      <c r="D303" s="19" t="s">
        <v>246</v>
      </c>
      <c r="E303" s="13" t="s">
        <v>79</v>
      </c>
      <c r="F303" s="7">
        <v>44763</v>
      </c>
      <c r="H303" s="2">
        <v>1</v>
      </c>
      <c r="I303" s="217" t="s">
        <v>79</v>
      </c>
      <c r="J303" s="16" t="s">
        <v>312</v>
      </c>
    </row>
    <row r="304" spans="2:10" ht="21" customHeight="1" x14ac:dyDescent="0.3">
      <c r="B304" s="13" t="s">
        <v>265</v>
      </c>
      <c r="C304" s="13" t="s">
        <v>235</v>
      </c>
      <c r="D304" s="19" t="s">
        <v>246</v>
      </c>
      <c r="E304" s="13" t="s">
        <v>79</v>
      </c>
      <c r="F304" s="7">
        <v>44764</v>
      </c>
      <c r="H304" s="2">
        <v>1</v>
      </c>
      <c r="I304" s="217" t="s">
        <v>79</v>
      </c>
      <c r="J304" s="16" t="s">
        <v>312</v>
      </c>
    </row>
    <row r="305" spans="2:9" ht="21" customHeight="1" x14ac:dyDescent="0.3">
      <c r="B305" s="13" t="s">
        <v>275</v>
      </c>
      <c r="C305" s="13" t="s">
        <v>235</v>
      </c>
      <c r="D305" s="19" t="s">
        <v>246</v>
      </c>
      <c r="E305" s="13" t="s">
        <v>81</v>
      </c>
      <c r="F305" s="7">
        <v>44755</v>
      </c>
      <c r="H305" s="2">
        <v>0.5</v>
      </c>
      <c r="I305" s="217" t="s">
        <v>81</v>
      </c>
    </row>
    <row r="306" spans="2:9" ht="21" customHeight="1" x14ac:dyDescent="0.3">
      <c r="B306" s="13" t="s">
        <v>276</v>
      </c>
      <c r="C306" s="13" t="s">
        <v>235</v>
      </c>
      <c r="D306" s="19" t="s">
        <v>243</v>
      </c>
      <c r="E306" s="13" t="s">
        <v>79</v>
      </c>
      <c r="F306" s="7">
        <v>44760</v>
      </c>
      <c r="H306" s="2">
        <v>1</v>
      </c>
      <c r="I306" s="217"/>
    </row>
    <row r="307" spans="2:9" ht="21" customHeight="1" x14ac:dyDescent="0.3">
      <c r="B307" s="13" t="s">
        <v>216</v>
      </c>
      <c r="C307" s="13" t="s">
        <v>233</v>
      </c>
      <c r="D307" s="19" t="s">
        <v>240</v>
      </c>
      <c r="E307" s="13" t="s">
        <v>79</v>
      </c>
      <c r="F307" s="7">
        <v>44699</v>
      </c>
      <c r="H307" s="2">
        <v>1</v>
      </c>
      <c r="I307" s="217" t="s">
        <v>79</v>
      </c>
    </row>
    <row r="308" spans="2:9" ht="21" customHeight="1" x14ac:dyDescent="0.3">
      <c r="B308" s="13" t="s">
        <v>217</v>
      </c>
      <c r="C308" s="13" t="s">
        <v>232</v>
      </c>
      <c r="D308" s="19" t="s">
        <v>240</v>
      </c>
      <c r="E308" s="13" t="s">
        <v>79</v>
      </c>
      <c r="F308" s="7">
        <v>44774</v>
      </c>
      <c r="H308" s="2">
        <v>1</v>
      </c>
      <c r="I308" s="217" t="s">
        <v>264</v>
      </c>
    </row>
    <row r="309" spans="2:9" ht="21" customHeight="1" x14ac:dyDescent="0.3">
      <c r="B309" s="13" t="s">
        <v>217</v>
      </c>
      <c r="C309" s="13" t="s">
        <v>232</v>
      </c>
      <c r="D309" s="19" t="s">
        <v>240</v>
      </c>
      <c r="E309" s="13" t="s">
        <v>79</v>
      </c>
      <c r="F309" s="7">
        <v>44799</v>
      </c>
      <c r="H309" s="2">
        <v>1</v>
      </c>
      <c r="I309" s="217" t="s">
        <v>313</v>
      </c>
    </row>
    <row r="310" spans="2:9" ht="21" customHeight="1" x14ac:dyDescent="0.3">
      <c r="B310" s="13" t="s">
        <v>229</v>
      </c>
      <c r="C310" s="13" t="s">
        <v>232</v>
      </c>
      <c r="D310" s="19" t="s">
        <v>244</v>
      </c>
      <c r="E310" s="13" t="s">
        <v>79</v>
      </c>
      <c r="F310" s="7">
        <v>44775</v>
      </c>
      <c r="H310" s="2">
        <v>1</v>
      </c>
      <c r="I310" s="217" t="s">
        <v>264</v>
      </c>
    </row>
    <row r="311" spans="2:9" ht="21" customHeight="1" x14ac:dyDescent="0.3">
      <c r="B311" s="13" t="s">
        <v>229</v>
      </c>
      <c r="C311" s="13" t="s">
        <v>232</v>
      </c>
      <c r="D311" s="19" t="s">
        <v>244</v>
      </c>
      <c r="E311" s="13" t="s">
        <v>79</v>
      </c>
      <c r="F311" s="7">
        <v>44776</v>
      </c>
      <c r="H311" s="2">
        <v>1</v>
      </c>
      <c r="I311" s="217" t="s">
        <v>264</v>
      </c>
    </row>
    <row r="312" spans="2:9" ht="21" customHeight="1" x14ac:dyDescent="0.3">
      <c r="B312" s="13" t="s">
        <v>229</v>
      </c>
      <c r="C312" s="13" t="s">
        <v>232</v>
      </c>
      <c r="D312" s="19" t="s">
        <v>244</v>
      </c>
      <c r="E312" s="13" t="s">
        <v>79</v>
      </c>
      <c r="F312" s="7">
        <v>44777</v>
      </c>
      <c r="H312" s="2">
        <v>1</v>
      </c>
      <c r="I312" s="217" t="s">
        <v>264</v>
      </c>
    </row>
    <row r="313" spans="2:9" ht="21" customHeight="1" x14ac:dyDescent="0.3">
      <c r="B313" s="13" t="s">
        <v>229</v>
      </c>
      <c r="C313" s="13" t="s">
        <v>232</v>
      </c>
      <c r="D313" s="19" t="s">
        <v>244</v>
      </c>
      <c r="E313" s="13" t="s">
        <v>79</v>
      </c>
      <c r="F313" s="7">
        <v>44778</v>
      </c>
      <c r="H313" s="2">
        <v>1</v>
      </c>
      <c r="I313" s="217" t="s">
        <v>264</v>
      </c>
    </row>
    <row r="314" spans="2:9" ht="21" customHeight="1" x14ac:dyDescent="0.3">
      <c r="B314" s="13" t="s">
        <v>267</v>
      </c>
      <c r="C314" s="13" t="s">
        <v>232</v>
      </c>
      <c r="D314" s="19" t="s">
        <v>241</v>
      </c>
      <c r="E314" s="13" t="s">
        <v>79</v>
      </c>
      <c r="F314" s="7">
        <v>44774</v>
      </c>
      <c r="H314" s="2">
        <v>1</v>
      </c>
      <c r="I314" s="217" t="s">
        <v>264</v>
      </c>
    </row>
    <row r="315" spans="2:9" ht="21" customHeight="1" x14ac:dyDescent="0.3">
      <c r="B315" s="13" t="s">
        <v>277</v>
      </c>
      <c r="C315" s="13" t="s">
        <v>232</v>
      </c>
      <c r="D315" s="19" t="s">
        <v>246</v>
      </c>
      <c r="E315" s="13" t="s">
        <v>79</v>
      </c>
      <c r="F315" s="7">
        <v>44775</v>
      </c>
      <c r="H315" s="2">
        <v>1</v>
      </c>
      <c r="I315" s="217" t="s">
        <v>264</v>
      </c>
    </row>
    <row r="316" spans="2:9" ht="21" customHeight="1" x14ac:dyDescent="0.3">
      <c r="B316" s="13" t="s">
        <v>277</v>
      </c>
      <c r="C316" s="13" t="s">
        <v>232</v>
      </c>
      <c r="D316" s="19" t="s">
        <v>246</v>
      </c>
      <c r="E316" s="13" t="s">
        <v>79</v>
      </c>
      <c r="F316" s="7">
        <v>44776</v>
      </c>
      <c r="H316" s="2">
        <v>1</v>
      </c>
      <c r="I316" s="217" t="s">
        <v>264</v>
      </c>
    </row>
    <row r="317" spans="2:9" ht="21" customHeight="1" x14ac:dyDescent="0.3">
      <c r="B317" s="13" t="s">
        <v>277</v>
      </c>
      <c r="C317" s="13" t="s">
        <v>232</v>
      </c>
      <c r="D317" s="19" t="s">
        <v>246</v>
      </c>
      <c r="E317" s="13" t="s">
        <v>79</v>
      </c>
      <c r="F317" s="7">
        <v>44777</v>
      </c>
      <c r="H317" s="2">
        <v>1</v>
      </c>
      <c r="I317" s="217" t="s">
        <v>264</v>
      </c>
    </row>
    <row r="318" spans="2:9" ht="21" customHeight="1" x14ac:dyDescent="0.3">
      <c r="B318" s="13" t="s">
        <v>277</v>
      </c>
      <c r="C318" s="13" t="s">
        <v>232</v>
      </c>
      <c r="D318" s="19" t="s">
        <v>246</v>
      </c>
      <c r="E318" s="13" t="s">
        <v>79</v>
      </c>
      <c r="F318" s="7">
        <v>44778</v>
      </c>
      <c r="H318" s="2">
        <v>2</v>
      </c>
      <c r="I318" s="217" t="s">
        <v>264</v>
      </c>
    </row>
    <row r="319" spans="2:9" ht="21" customHeight="1" x14ac:dyDescent="0.3">
      <c r="B319" s="13" t="s">
        <v>277</v>
      </c>
      <c r="C319" s="13" t="s">
        <v>232</v>
      </c>
      <c r="D319" s="19" t="s">
        <v>246</v>
      </c>
      <c r="E319" s="13" t="s">
        <v>79</v>
      </c>
      <c r="F319" s="7">
        <v>44791</v>
      </c>
      <c r="H319" s="2">
        <v>1</v>
      </c>
      <c r="I319" s="217" t="s">
        <v>313</v>
      </c>
    </row>
    <row r="320" spans="2:9" ht="21" customHeight="1" x14ac:dyDescent="0.3">
      <c r="B320" s="13" t="s">
        <v>291</v>
      </c>
      <c r="C320" s="13" t="s">
        <v>232</v>
      </c>
      <c r="D320" s="19" t="s">
        <v>241</v>
      </c>
      <c r="E320" s="13" t="s">
        <v>79</v>
      </c>
      <c r="F320" s="7">
        <v>44775</v>
      </c>
      <c r="H320" s="2">
        <v>1</v>
      </c>
      <c r="I320" s="217" t="s">
        <v>264</v>
      </c>
    </row>
    <row r="321" spans="2:9" ht="21" customHeight="1" x14ac:dyDescent="0.3">
      <c r="B321" s="13" t="s">
        <v>291</v>
      </c>
      <c r="C321" s="13" t="s">
        <v>232</v>
      </c>
      <c r="D321" s="19" t="s">
        <v>241</v>
      </c>
      <c r="E321" s="13" t="s">
        <v>79</v>
      </c>
      <c r="F321" s="7">
        <v>44776</v>
      </c>
      <c r="H321" s="2">
        <v>1</v>
      </c>
      <c r="I321" s="217" t="s">
        <v>264</v>
      </c>
    </row>
    <row r="322" spans="2:9" ht="21" customHeight="1" x14ac:dyDescent="0.3">
      <c r="B322" s="13" t="s">
        <v>291</v>
      </c>
      <c r="C322" s="13" t="s">
        <v>232</v>
      </c>
      <c r="D322" s="19" t="s">
        <v>241</v>
      </c>
      <c r="E322" s="13" t="s">
        <v>79</v>
      </c>
      <c r="F322" s="7">
        <v>44777</v>
      </c>
      <c r="H322" s="2">
        <v>1</v>
      </c>
      <c r="I322" s="217" t="s">
        <v>264</v>
      </c>
    </row>
    <row r="323" spans="2:9" ht="21" customHeight="1" x14ac:dyDescent="0.3">
      <c r="B323" s="13" t="s">
        <v>291</v>
      </c>
      <c r="C323" s="13" t="s">
        <v>232</v>
      </c>
      <c r="D323" s="19" t="s">
        <v>241</v>
      </c>
      <c r="E323" s="13" t="s">
        <v>79</v>
      </c>
      <c r="F323" s="7">
        <v>44778</v>
      </c>
      <c r="H323" s="2">
        <v>1</v>
      </c>
      <c r="I323" s="217" t="s">
        <v>264</v>
      </c>
    </row>
    <row r="324" spans="2:9" ht="21" customHeight="1" x14ac:dyDescent="0.3">
      <c r="B324" s="13" t="s">
        <v>311</v>
      </c>
      <c r="C324" s="13" t="s">
        <v>232</v>
      </c>
      <c r="D324" s="19" t="s">
        <v>241</v>
      </c>
      <c r="E324" s="13" t="s">
        <v>79</v>
      </c>
      <c r="F324" s="7">
        <v>44774</v>
      </c>
      <c r="H324" s="2">
        <v>1</v>
      </c>
      <c r="I324" s="217" t="s">
        <v>264</v>
      </c>
    </row>
    <row r="325" spans="2:9" ht="21" customHeight="1" x14ac:dyDescent="0.3">
      <c r="B325" s="13" t="s">
        <v>311</v>
      </c>
      <c r="C325" s="13" t="s">
        <v>232</v>
      </c>
      <c r="D325" s="19" t="s">
        <v>241</v>
      </c>
      <c r="E325" s="13" t="s">
        <v>79</v>
      </c>
      <c r="F325" s="7">
        <v>44796</v>
      </c>
      <c r="H325" s="2">
        <v>1</v>
      </c>
      <c r="I325" s="217" t="s">
        <v>314</v>
      </c>
    </row>
    <row r="326" spans="2:9" ht="21" customHeight="1" x14ac:dyDescent="0.3">
      <c r="B326" s="13" t="s">
        <v>309</v>
      </c>
      <c r="C326" s="13" t="s">
        <v>232</v>
      </c>
      <c r="D326" s="19" t="s">
        <v>244</v>
      </c>
      <c r="E326" s="13" t="s">
        <v>79</v>
      </c>
      <c r="F326" s="7">
        <v>44774</v>
      </c>
      <c r="H326" s="2">
        <v>1</v>
      </c>
      <c r="I326" s="217"/>
    </row>
    <row r="327" spans="2:9" ht="21" customHeight="1" x14ac:dyDescent="0.3">
      <c r="B327" s="13" t="s">
        <v>219</v>
      </c>
      <c r="C327" s="13" t="s">
        <v>233</v>
      </c>
      <c r="D327" s="19" t="s">
        <v>241</v>
      </c>
      <c r="E327" s="13" t="s">
        <v>79</v>
      </c>
      <c r="F327" s="7">
        <v>44795</v>
      </c>
      <c r="H327" s="2">
        <v>1</v>
      </c>
      <c r="I327" s="217" t="s">
        <v>264</v>
      </c>
    </row>
    <row r="328" spans="2:9" ht="21" customHeight="1" x14ac:dyDescent="0.3">
      <c r="B328" s="13" t="s">
        <v>219</v>
      </c>
      <c r="C328" s="13" t="s">
        <v>233</v>
      </c>
      <c r="D328" s="19" t="s">
        <v>241</v>
      </c>
      <c r="E328" s="13" t="s">
        <v>79</v>
      </c>
      <c r="F328" s="7">
        <v>44796</v>
      </c>
      <c r="H328" s="2">
        <v>1</v>
      </c>
      <c r="I328" s="217" t="s">
        <v>264</v>
      </c>
    </row>
    <row r="329" spans="2:9" ht="21" customHeight="1" x14ac:dyDescent="0.3">
      <c r="B329" s="13" t="s">
        <v>219</v>
      </c>
      <c r="C329" s="13" t="s">
        <v>233</v>
      </c>
      <c r="D329" s="19" t="s">
        <v>241</v>
      </c>
      <c r="E329" s="13" t="s">
        <v>79</v>
      </c>
      <c r="F329" s="7">
        <v>44797</v>
      </c>
      <c r="H329" s="2">
        <v>1</v>
      </c>
      <c r="I329" s="217" t="s">
        <v>264</v>
      </c>
    </row>
    <row r="330" spans="2:9" ht="21" customHeight="1" x14ac:dyDescent="0.3">
      <c r="B330" s="13" t="s">
        <v>219</v>
      </c>
      <c r="C330" s="13" t="s">
        <v>233</v>
      </c>
      <c r="D330" s="19" t="s">
        <v>241</v>
      </c>
      <c r="E330" s="13" t="s">
        <v>79</v>
      </c>
      <c r="F330" s="7">
        <v>44798</v>
      </c>
      <c r="H330" s="2">
        <v>1</v>
      </c>
      <c r="I330" s="217" t="s">
        <v>264</v>
      </c>
    </row>
    <row r="331" spans="2:9" ht="21" customHeight="1" x14ac:dyDescent="0.3">
      <c r="B331" s="13" t="s">
        <v>219</v>
      </c>
      <c r="C331" s="13" t="s">
        <v>233</v>
      </c>
      <c r="D331" s="19" t="s">
        <v>241</v>
      </c>
      <c r="E331" s="13" t="s">
        <v>79</v>
      </c>
      <c r="F331" s="7">
        <v>44799</v>
      </c>
      <c r="H331" s="2">
        <v>1</v>
      </c>
      <c r="I331" s="217" t="s">
        <v>264</v>
      </c>
    </row>
    <row r="332" spans="2:9" ht="21" customHeight="1" x14ac:dyDescent="0.3">
      <c r="B332" s="13" t="s">
        <v>228</v>
      </c>
      <c r="C332" s="13" t="s">
        <v>233</v>
      </c>
      <c r="D332" s="19" t="s">
        <v>246</v>
      </c>
      <c r="E332" s="13" t="s">
        <v>79</v>
      </c>
      <c r="F332" s="7">
        <v>44789</v>
      </c>
      <c r="H332" s="2">
        <v>1</v>
      </c>
      <c r="I332" s="217" t="s">
        <v>264</v>
      </c>
    </row>
    <row r="333" spans="2:9" ht="21" customHeight="1" x14ac:dyDescent="0.3">
      <c r="B333" s="13" t="s">
        <v>228</v>
      </c>
      <c r="C333" s="13" t="s">
        <v>233</v>
      </c>
      <c r="D333" s="19" t="s">
        <v>246</v>
      </c>
      <c r="E333" s="13" t="s">
        <v>79</v>
      </c>
      <c r="F333" s="7">
        <v>44790</v>
      </c>
      <c r="H333" s="2">
        <v>1</v>
      </c>
      <c r="I333" s="217" t="s">
        <v>264</v>
      </c>
    </row>
    <row r="334" spans="2:9" ht="21" customHeight="1" x14ac:dyDescent="0.3">
      <c r="B334" s="13" t="s">
        <v>228</v>
      </c>
      <c r="C334" s="13" t="s">
        <v>233</v>
      </c>
      <c r="D334" s="19" t="s">
        <v>246</v>
      </c>
      <c r="E334" s="13" t="s">
        <v>79</v>
      </c>
      <c r="F334" s="7">
        <v>44791</v>
      </c>
      <c r="H334" s="2">
        <v>1</v>
      </c>
      <c r="I334" s="217" t="s">
        <v>264</v>
      </c>
    </row>
    <row r="335" spans="2:9" ht="21" customHeight="1" x14ac:dyDescent="0.3">
      <c r="B335" s="13" t="s">
        <v>228</v>
      </c>
      <c r="C335" s="13" t="s">
        <v>233</v>
      </c>
      <c r="D335" s="19" t="s">
        <v>246</v>
      </c>
      <c r="E335" s="13" t="s">
        <v>79</v>
      </c>
      <c r="F335" s="7">
        <v>44792</v>
      </c>
      <c r="H335" s="2">
        <v>1</v>
      </c>
      <c r="I335" s="217" t="s">
        <v>264</v>
      </c>
    </row>
    <row r="336" spans="2:9" ht="21" customHeight="1" x14ac:dyDescent="0.3">
      <c r="B336" s="13" t="s">
        <v>289</v>
      </c>
      <c r="C336" s="13" t="s">
        <v>233</v>
      </c>
      <c r="D336" s="19" t="s">
        <v>246</v>
      </c>
      <c r="E336" s="13" t="s">
        <v>79</v>
      </c>
      <c r="F336" s="7">
        <v>44802</v>
      </c>
      <c r="H336" s="2">
        <v>1</v>
      </c>
      <c r="I336" s="217" t="s">
        <v>264</v>
      </c>
    </row>
    <row r="337" spans="2:9" ht="21" customHeight="1" x14ac:dyDescent="0.3">
      <c r="B337" s="13" t="s">
        <v>289</v>
      </c>
      <c r="C337" s="13" t="s">
        <v>233</v>
      </c>
      <c r="D337" s="19" t="s">
        <v>246</v>
      </c>
      <c r="E337" s="13" t="s">
        <v>79</v>
      </c>
      <c r="F337" s="7">
        <v>44803</v>
      </c>
      <c r="H337" s="2">
        <v>1</v>
      </c>
      <c r="I337" s="217" t="s">
        <v>264</v>
      </c>
    </row>
    <row r="338" spans="2:9" ht="21" customHeight="1" x14ac:dyDescent="0.3">
      <c r="B338" s="13" t="s">
        <v>289</v>
      </c>
      <c r="C338" s="13" t="s">
        <v>233</v>
      </c>
      <c r="D338" s="19" t="s">
        <v>246</v>
      </c>
      <c r="E338" s="13" t="s">
        <v>79</v>
      </c>
      <c r="F338" s="7">
        <v>44804</v>
      </c>
      <c r="H338" s="2">
        <v>1</v>
      </c>
      <c r="I338" s="217" t="s">
        <v>264</v>
      </c>
    </row>
    <row r="339" spans="2:9" ht="21" customHeight="1" x14ac:dyDescent="0.3">
      <c r="B339" s="13" t="s">
        <v>260</v>
      </c>
      <c r="C339" s="13" t="s">
        <v>235</v>
      </c>
      <c r="D339" s="19" t="s">
        <v>244</v>
      </c>
      <c r="E339" s="13" t="s">
        <v>79</v>
      </c>
      <c r="F339" s="7">
        <v>44774</v>
      </c>
      <c r="H339" s="2">
        <v>1</v>
      </c>
      <c r="I339" s="217" t="s">
        <v>264</v>
      </c>
    </row>
    <row r="340" spans="2:9" ht="21" customHeight="1" x14ac:dyDescent="0.3">
      <c r="B340" s="13" t="s">
        <v>260</v>
      </c>
      <c r="C340" s="13" t="s">
        <v>235</v>
      </c>
      <c r="D340" s="19" t="s">
        <v>244</v>
      </c>
      <c r="E340" s="13" t="s">
        <v>79</v>
      </c>
      <c r="F340" s="7">
        <v>44775</v>
      </c>
      <c r="H340" s="2">
        <v>1</v>
      </c>
      <c r="I340" s="217" t="s">
        <v>264</v>
      </c>
    </row>
    <row r="341" spans="2:9" ht="21" customHeight="1" x14ac:dyDescent="0.3">
      <c r="B341" s="13" t="s">
        <v>260</v>
      </c>
      <c r="C341" s="13" t="s">
        <v>235</v>
      </c>
      <c r="D341" s="19" t="s">
        <v>244</v>
      </c>
      <c r="E341" s="13" t="s">
        <v>79</v>
      </c>
      <c r="F341" s="7">
        <v>44776</v>
      </c>
      <c r="H341" s="2">
        <v>1</v>
      </c>
      <c r="I341" s="217" t="s">
        <v>264</v>
      </c>
    </row>
    <row r="342" spans="2:9" ht="21" customHeight="1" x14ac:dyDescent="0.3">
      <c r="B342" s="13" t="s">
        <v>260</v>
      </c>
      <c r="C342" s="13" t="s">
        <v>235</v>
      </c>
      <c r="D342" s="19" t="s">
        <v>244</v>
      </c>
      <c r="E342" s="13" t="s">
        <v>79</v>
      </c>
      <c r="F342" s="7">
        <v>44777</v>
      </c>
      <c r="H342" s="2">
        <v>1</v>
      </c>
      <c r="I342" s="217" t="s">
        <v>264</v>
      </c>
    </row>
    <row r="343" spans="2:9" ht="21" customHeight="1" x14ac:dyDescent="0.3">
      <c r="B343" s="13" t="s">
        <v>260</v>
      </c>
      <c r="C343" s="13" t="s">
        <v>235</v>
      </c>
      <c r="D343" s="19" t="s">
        <v>244</v>
      </c>
      <c r="E343" s="13" t="s">
        <v>79</v>
      </c>
      <c r="F343" s="7">
        <v>44778</v>
      </c>
      <c r="H343" s="2">
        <v>1</v>
      </c>
      <c r="I343" s="217" t="s">
        <v>264</v>
      </c>
    </row>
    <row r="344" spans="2:9" ht="21" customHeight="1" x14ac:dyDescent="0.3">
      <c r="B344" s="13" t="s">
        <v>265</v>
      </c>
      <c r="C344" s="13" t="s">
        <v>235</v>
      </c>
      <c r="D344" s="19" t="s">
        <v>246</v>
      </c>
      <c r="E344" s="13" t="s">
        <v>79</v>
      </c>
      <c r="F344" s="7">
        <v>44774</v>
      </c>
      <c r="H344" s="2">
        <v>1</v>
      </c>
      <c r="I344" s="217" t="s">
        <v>264</v>
      </c>
    </row>
    <row r="345" spans="2:9" ht="21" customHeight="1" x14ac:dyDescent="0.3">
      <c r="B345" s="13" t="s">
        <v>265</v>
      </c>
      <c r="C345" s="13" t="s">
        <v>235</v>
      </c>
      <c r="D345" s="19" t="s">
        <v>246</v>
      </c>
      <c r="E345" s="13" t="s">
        <v>79</v>
      </c>
      <c r="F345" s="7">
        <v>44775</v>
      </c>
      <c r="H345" s="2">
        <v>1</v>
      </c>
      <c r="I345" s="217" t="s">
        <v>264</v>
      </c>
    </row>
    <row r="346" spans="2:9" ht="21" customHeight="1" x14ac:dyDescent="0.3">
      <c r="B346" s="13" t="s">
        <v>265</v>
      </c>
      <c r="C346" s="13" t="s">
        <v>235</v>
      </c>
      <c r="D346" s="19" t="s">
        <v>246</v>
      </c>
      <c r="E346" s="13" t="s">
        <v>79</v>
      </c>
      <c r="F346" s="7">
        <v>44776</v>
      </c>
      <c r="H346" s="2">
        <v>1</v>
      </c>
      <c r="I346" s="217" t="s">
        <v>264</v>
      </c>
    </row>
    <row r="347" spans="2:9" ht="21" customHeight="1" x14ac:dyDescent="0.3">
      <c r="B347" s="13" t="s">
        <v>265</v>
      </c>
      <c r="C347" s="13" t="s">
        <v>235</v>
      </c>
      <c r="D347" s="19" t="s">
        <v>246</v>
      </c>
      <c r="E347" s="13" t="s">
        <v>79</v>
      </c>
      <c r="F347" s="7">
        <v>44777</v>
      </c>
      <c r="H347" s="2">
        <v>1</v>
      </c>
      <c r="I347" s="217" t="s">
        <v>264</v>
      </c>
    </row>
    <row r="348" spans="2:9" ht="21" customHeight="1" x14ac:dyDescent="0.3">
      <c r="B348" s="13" t="s">
        <v>265</v>
      </c>
      <c r="C348" s="13" t="s">
        <v>235</v>
      </c>
      <c r="D348" s="19" t="s">
        <v>246</v>
      </c>
      <c r="E348" s="13" t="s">
        <v>79</v>
      </c>
      <c r="F348" s="7">
        <v>44778</v>
      </c>
      <c r="H348" s="2">
        <v>1</v>
      </c>
      <c r="I348" s="217" t="s">
        <v>264</v>
      </c>
    </row>
    <row r="349" spans="2:9" ht="21" customHeight="1" x14ac:dyDescent="0.3">
      <c r="B349" s="13" t="s">
        <v>275</v>
      </c>
      <c r="C349" s="13" t="s">
        <v>235</v>
      </c>
      <c r="D349" s="19" t="s">
        <v>246</v>
      </c>
      <c r="E349" s="13" t="s">
        <v>79</v>
      </c>
      <c r="F349" s="7">
        <v>44774</v>
      </c>
      <c r="H349" s="2">
        <v>1</v>
      </c>
      <c r="I349" s="217" t="s">
        <v>264</v>
      </c>
    </row>
    <row r="350" spans="2:9" ht="21" customHeight="1" x14ac:dyDescent="0.3">
      <c r="B350" s="13" t="s">
        <v>275</v>
      </c>
      <c r="C350" s="13" t="s">
        <v>235</v>
      </c>
      <c r="D350" s="19" t="s">
        <v>246</v>
      </c>
      <c r="E350" s="13" t="s">
        <v>79</v>
      </c>
      <c r="F350" s="7">
        <v>44775</v>
      </c>
      <c r="H350" s="2">
        <v>1</v>
      </c>
      <c r="I350" s="217" t="s">
        <v>264</v>
      </c>
    </row>
    <row r="351" spans="2:9" ht="21" customHeight="1" x14ac:dyDescent="0.3">
      <c r="B351" s="13" t="s">
        <v>275</v>
      </c>
      <c r="C351" s="13" t="s">
        <v>235</v>
      </c>
      <c r="D351" s="19" t="s">
        <v>246</v>
      </c>
      <c r="E351" s="13" t="s">
        <v>79</v>
      </c>
      <c r="F351" s="7">
        <v>44776</v>
      </c>
      <c r="H351" s="2">
        <v>1</v>
      </c>
      <c r="I351" s="217" t="s">
        <v>264</v>
      </c>
    </row>
    <row r="352" spans="2:9" ht="21" customHeight="1" x14ac:dyDescent="0.3">
      <c r="B352" s="13" t="s">
        <v>275</v>
      </c>
      <c r="C352" s="13" t="s">
        <v>235</v>
      </c>
      <c r="D352" s="19" t="s">
        <v>246</v>
      </c>
      <c r="E352" s="13" t="s">
        <v>79</v>
      </c>
      <c r="F352" s="7">
        <v>44777</v>
      </c>
      <c r="H352" s="2">
        <v>1</v>
      </c>
      <c r="I352" s="217" t="s">
        <v>264</v>
      </c>
    </row>
    <row r="353" spans="2:9" ht="21" customHeight="1" x14ac:dyDescent="0.3">
      <c r="B353" s="13" t="s">
        <v>275</v>
      </c>
      <c r="C353" s="13" t="s">
        <v>235</v>
      </c>
      <c r="D353" s="19" t="s">
        <v>246</v>
      </c>
      <c r="E353" s="13" t="s">
        <v>79</v>
      </c>
      <c r="F353" s="7">
        <v>44778</v>
      </c>
      <c r="H353" s="2">
        <v>1</v>
      </c>
      <c r="I353" s="217" t="s">
        <v>264</v>
      </c>
    </row>
    <row r="354" spans="2:9" ht="21" customHeight="1" x14ac:dyDescent="0.3">
      <c r="B354" s="13" t="s">
        <v>276</v>
      </c>
      <c r="C354" s="13" t="s">
        <v>235</v>
      </c>
      <c r="D354" s="19" t="s">
        <v>243</v>
      </c>
      <c r="E354" s="13" t="s">
        <v>79</v>
      </c>
      <c r="F354" s="7">
        <v>44774</v>
      </c>
      <c r="H354" s="2">
        <v>1</v>
      </c>
      <c r="I354" s="217"/>
    </row>
    <row r="355" spans="2:9" ht="21" customHeight="1" x14ac:dyDescent="0.3">
      <c r="B355" s="13" t="s">
        <v>276</v>
      </c>
      <c r="C355" s="13" t="s">
        <v>235</v>
      </c>
      <c r="D355" s="19" t="s">
        <v>243</v>
      </c>
      <c r="E355" s="13" t="s">
        <v>79</v>
      </c>
      <c r="F355" s="7">
        <v>44775</v>
      </c>
      <c r="H355" s="2">
        <v>1</v>
      </c>
      <c r="I355" s="217"/>
    </row>
    <row r="356" spans="2:9" ht="21" customHeight="1" x14ac:dyDescent="0.3">
      <c r="B356" s="13" t="s">
        <v>276</v>
      </c>
      <c r="C356" s="13" t="s">
        <v>235</v>
      </c>
      <c r="D356" s="19" t="s">
        <v>243</v>
      </c>
      <c r="E356" s="13" t="s">
        <v>79</v>
      </c>
      <c r="F356" s="7">
        <v>44776</v>
      </c>
      <c r="H356" s="2">
        <v>1</v>
      </c>
      <c r="I356" s="217"/>
    </row>
    <row r="357" spans="2:9" ht="21" customHeight="1" x14ac:dyDescent="0.3">
      <c r="B357" s="13" t="s">
        <v>276</v>
      </c>
      <c r="C357" s="13" t="s">
        <v>235</v>
      </c>
      <c r="D357" s="19" t="s">
        <v>243</v>
      </c>
      <c r="E357" s="13" t="s">
        <v>79</v>
      </c>
      <c r="F357" s="7">
        <v>44777</v>
      </c>
      <c r="H357" s="2">
        <v>1</v>
      </c>
      <c r="I357" s="217"/>
    </row>
    <row r="358" spans="2:9" ht="21" customHeight="1" x14ac:dyDescent="0.3">
      <c r="B358" s="13" t="s">
        <v>276</v>
      </c>
      <c r="C358" s="13" t="s">
        <v>235</v>
      </c>
      <c r="D358" s="19" t="s">
        <v>243</v>
      </c>
      <c r="E358" s="13" t="s">
        <v>79</v>
      </c>
      <c r="F358" s="7">
        <v>44778</v>
      </c>
      <c r="H358" s="2">
        <v>1</v>
      </c>
      <c r="I358" s="217"/>
    </row>
    <row r="359" spans="2:9" ht="21" customHeight="1" x14ac:dyDescent="0.3">
      <c r="B359" s="13" t="s">
        <v>275</v>
      </c>
      <c r="C359" s="13" t="s">
        <v>235</v>
      </c>
      <c r="D359" s="19" t="s">
        <v>246</v>
      </c>
      <c r="E359" s="13" t="s">
        <v>79</v>
      </c>
      <c r="F359" s="7">
        <v>44790</v>
      </c>
      <c r="H359" s="2">
        <v>1</v>
      </c>
      <c r="I359" s="217"/>
    </row>
    <row r="360" spans="2:9" ht="21" customHeight="1" x14ac:dyDescent="0.3">
      <c r="B360" s="13" t="s">
        <v>276</v>
      </c>
      <c r="C360" s="13" t="s">
        <v>235</v>
      </c>
      <c r="D360" s="19" t="s">
        <v>243</v>
      </c>
      <c r="E360" s="13" t="s">
        <v>79</v>
      </c>
      <c r="F360" s="7">
        <v>44791</v>
      </c>
      <c r="H360" s="2">
        <v>1</v>
      </c>
      <c r="I360" s="217"/>
    </row>
    <row r="361" spans="2:9" ht="21" customHeight="1" x14ac:dyDescent="0.3">
      <c r="B361" s="13" t="s">
        <v>276</v>
      </c>
      <c r="C361" s="13" t="s">
        <v>235</v>
      </c>
      <c r="D361" s="19" t="s">
        <v>243</v>
      </c>
      <c r="E361" s="13" t="s">
        <v>79</v>
      </c>
      <c r="F361" s="7">
        <v>44795</v>
      </c>
      <c r="H361" s="2">
        <v>1</v>
      </c>
      <c r="I361" s="217"/>
    </row>
    <row r="362" spans="2:9" ht="21" customHeight="1" x14ac:dyDescent="0.3">
      <c r="B362" s="13" t="s">
        <v>260</v>
      </c>
      <c r="C362" s="13" t="s">
        <v>235</v>
      </c>
      <c r="D362" s="19" t="s">
        <v>244</v>
      </c>
      <c r="E362" s="13" t="s">
        <v>79</v>
      </c>
      <c r="F362" s="7">
        <v>44791</v>
      </c>
      <c r="H362" s="2">
        <v>1</v>
      </c>
      <c r="I362" s="217" t="s">
        <v>79</v>
      </c>
    </row>
    <row r="363" spans="2:9" ht="21" customHeight="1" x14ac:dyDescent="0.3">
      <c r="B363" s="13" t="s">
        <v>260</v>
      </c>
      <c r="C363" s="13" t="s">
        <v>235</v>
      </c>
      <c r="D363" s="19" t="s">
        <v>244</v>
      </c>
      <c r="E363" s="13" t="s">
        <v>79</v>
      </c>
      <c r="F363" s="7">
        <v>44792</v>
      </c>
      <c r="H363" s="2">
        <v>1</v>
      </c>
      <c r="I363" s="217" t="s">
        <v>79</v>
      </c>
    </row>
    <row r="364" spans="2:9" ht="21" customHeight="1" x14ac:dyDescent="0.3">
      <c r="B364" s="13" t="s">
        <v>229</v>
      </c>
      <c r="C364" s="13" t="s">
        <v>232</v>
      </c>
      <c r="D364" s="19" t="s">
        <v>244</v>
      </c>
      <c r="E364" s="13" t="s">
        <v>79</v>
      </c>
      <c r="F364" s="7">
        <v>44806</v>
      </c>
      <c r="H364" s="2">
        <v>1</v>
      </c>
      <c r="I364" s="217" t="s">
        <v>79</v>
      </c>
    </row>
    <row r="365" spans="2:9" ht="21" customHeight="1" x14ac:dyDescent="0.3">
      <c r="B365" s="13" t="s">
        <v>229</v>
      </c>
      <c r="C365" s="13" t="s">
        <v>232</v>
      </c>
      <c r="D365" s="19" t="s">
        <v>244</v>
      </c>
      <c r="E365" s="13" t="s">
        <v>79</v>
      </c>
      <c r="F365" s="7">
        <v>44830</v>
      </c>
      <c r="H365" s="2">
        <v>1</v>
      </c>
      <c r="I365" s="217" t="s">
        <v>79</v>
      </c>
    </row>
    <row r="366" spans="2:9" ht="21" customHeight="1" x14ac:dyDescent="0.3">
      <c r="B366" s="13" t="s">
        <v>277</v>
      </c>
      <c r="C366" s="13" t="s">
        <v>232</v>
      </c>
      <c r="D366" s="19" t="s">
        <v>246</v>
      </c>
      <c r="E366" s="13" t="s">
        <v>79</v>
      </c>
      <c r="F366" s="7">
        <v>44809</v>
      </c>
      <c r="H366" s="2">
        <v>1</v>
      </c>
      <c r="I366" s="217" t="s">
        <v>79</v>
      </c>
    </row>
    <row r="367" spans="2:9" ht="21" customHeight="1" x14ac:dyDescent="0.3">
      <c r="B367" s="13" t="s">
        <v>291</v>
      </c>
      <c r="C367" s="13" t="s">
        <v>232</v>
      </c>
      <c r="D367" s="19" t="s">
        <v>241</v>
      </c>
      <c r="E367" s="13" t="s">
        <v>79</v>
      </c>
      <c r="F367" s="7">
        <v>44830</v>
      </c>
      <c r="H367" s="2">
        <v>1</v>
      </c>
      <c r="I367" s="217" t="s">
        <v>316</v>
      </c>
    </row>
    <row r="368" spans="2:9" ht="21" customHeight="1" x14ac:dyDescent="0.3">
      <c r="B368" s="13" t="s">
        <v>309</v>
      </c>
      <c r="C368" s="13" t="s">
        <v>232</v>
      </c>
      <c r="D368" s="19" t="s">
        <v>244</v>
      </c>
      <c r="E368" s="13" t="s">
        <v>79</v>
      </c>
      <c r="F368" s="7">
        <v>44820</v>
      </c>
      <c r="H368" s="2">
        <v>1</v>
      </c>
      <c r="I368" s="217" t="s">
        <v>79</v>
      </c>
    </row>
    <row r="369" spans="2:9" ht="21" customHeight="1" x14ac:dyDescent="0.3">
      <c r="B369" s="13" t="s">
        <v>219</v>
      </c>
      <c r="C369" s="13" t="s">
        <v>233</v>
      </c>
      <c r="D369" s="19" t="s">
        <v>241</v>
      </c>
      <c r="E369" s="13" t="s">
        <v>79</v>
      </c>
      <c r="F369" s="7">
        <v>44830</v>
      </c>
      <c r="H369" s="2">
        <v>1</v>
      </c>
      <c r="I369" s="217" t="s">
        <v>79</v>
      </c>
    </row>
    <row r="370" spans="2:9" ht="21" customHeight="1" x14ac:dyDescent="0.3">
      <c r="B370" s="13" t="s">
        <v>228</v>
      </c>
      <c r="C370" s="13" t="s">
        <v>233</v>
      </c>
      <c r="D370" s="19" t="s">
        <v>246</v>
      </c>
      <c r="E370" s="13" t="s">
        <v>79</v>
      </c>
      <c r="F370" s="7">
        <v>44834</v>
      </c>
      <c r="H370" s="2">
        <v>1</v>
      </c>
      <c r="I370" s="217" t="s">
        <v>79</v>
      </c>
    </row>
    <row r="371" spans="2:9" ht="21" customHeight="1" x14ac:dyDescent="0.3">
      <c r="B371" s="13" t="s">
        <v>317</v>
      </c>
      <c r="C371" s="13" t="s">
        <v>233</v>
      </c>
      <c r="D371" s="19" t="s">
        <v>246</v>
      </c>
      <c r="E371" s="13" t="s">
        <v>79</v>
      </c>
      <c r="F371" s="7">
        <v>44827</v>
      </c>
      <c r="H371" s="2">
        <v>1</v>
      </c>
      <c r="I371" s="217" t="s">
        <v>79</v>
      </c>
    </row>
    <row r="372" spans="2:9" ht="21" customHeight="1" x14ac:dyDescent="0.3">
      <c r="B372" s="13" t="s">
        <v>260</v>
      </c>
      <c r="C372" s="13" t="s">
        <v>235</v>
      </c>
      <c r="D372" s="19" t="s">
        <v>244</v>
      </c>
      <c r="E372" s="13" t="s">
        <v>281</v>
      </c>
      <c r="F372" s="7">
        <v>44826</v>
      </c>
      <c r="H372" s="2">
        <v>0.5</v>
      </c>
      <c r="I372" s="217" t="s">
        <v>281</v>
      </c>
    </row>
    <row r="373" spans="2:9" ht="21" customHeight="1" x14ac:dyDescent="0.3">
      <c r="B373" s="13" t="s">
        <v>265</v>
      </c>
      <c r="C373" s="13" t="s">
        <v>235</v>
      </c>
      <c r="D373" s="19" t="s">
        <v>246</v>
      </c>
      <c r="E373" s="13" t="s">
        <v>79</v>
      </c>
      <c r="F373" s="7">
        <v>44830</v>
      </c>
      <c r="H373" s="2">
        <v>1</v>
      </c>
      <c r="I373" s="217" t="s">
        <v>79</v>
      </c>
    </row>
    <row r="374" spans="2:9" ht="21" customHeight="1" x14ac:dyDescent="0.3">
      <c r="B374" s="13" t="s">
        <v>275</v>
      </c>
      <c r="C374" s="13" t="s">
        <v>235</v>
      </c>
      <c r="D374" s="19" t="s">
        <v>246</v>
      </c>
      <c r="E374" s="13" t="s">
        <v>258</v>
      </c>
      <c r="F374" s="7">
        <v>44812</v>
      </c>
      <c r="H374" s="2">
        <v>1</v>
      </c>
      <c r="I374" s="217" t="s">
        <v>258</v>
      </c>
    </row>
    <row r="375" spans="2:9" ht="21" customHeight="1" x14ac:dyDescent="0.3">
      <c r="B375" s="13" t="s">
        <v>276</v>
      </c>
      <c r="C375" s="13" t="s">
        <v>235</v>
      </c>
      <c r="D375" s="19" t="s">
        <v>243</v>
      </c>
      <c r="E375" s="13" t="s">
        <v>258</v>
      </c>
      <c r="F375" s="7">
        <v>44823</v>
      </c>
      <c r="H375" s="2">
        <v>1</v>
      </c>
      <c r="I375" s="217" t="s">
        <v>258</v>
      </c>
    </row>
    <row r="376" spans="2:9" ht="21" customHeight="1" x14ac:dyDescent="0.3">
      <c r="B376" s="13" t="s">
        <v>276</v>
      </c>
      <c r="C376" s="13" t="s">
        <v>235</v>
      </c>
      <c r="D376" s="19" t="s">
        <v>243</v>
      </c>
      <c r="E376" s="13" t="s">
        <v>281</v>
      </c>
      <c r="F376" s="7">
        <v>44832</v>
      </c>
      <c r="H376" s="2">
        <v>0.5</v>
      </c>
      <c r="I376" s="217" t="s">
        <v>281</v>
      </c>
    </row>
    <row r="377" spans="2:9" ht="21" customHeight="1" x14ac:dyDescent="0.3">
      <c r="B377" s="13" t="s">
        <v>276</v>
      </c>
      <c r="C377" s="13" t="s">
        <v>235</v>
      </c>
      <c r="D377" s="19" t="s">
        <v>243</v>
      </c>
      <c r="E377" s="13" t="s">
        <v>258</v>
      </c>
      <c r="F377" s="7">
        <v>44833</v>
      </c>
      <c r="H377" s="2">
        <v>1</v>
      </c>
      <c r="I377" s="217" t="s">
        <v>258</v>
      </c>
    </row>
    <row r="378" spans="2:9" ht="21" customHeight="1" x14ac:dyDescent="0.3">
      <c r="B378" s="13" t="s">
        <v>276</v>
      </c>
      <c r="C378" s="13" t="s">
        <v>235</v>
      </c>
      <c r="D378" s="19" t="s">
        <v>243</v>
      </c>
      <c r="E378" s="13" t="s">
        <v>258</v>
      </c>
      <c r="F378" s="7">
        <v>44834</v>
      </c>
      <c r="H378" s="2">
        <v>1</v>
      </c>
      <c r="I378" s="217" t="s">
        <v>258</v>
      </c>
    </row>
    <row r="379" spans="2:9" ht="21" customHeight="1" x14ac:dyDescent="0.3">
      <c r="B379" s="13" t="s">
        <v>267</v>
      </c>
      <c r="C379" s="13" t="s">
        <v>232</v>
      </c>
      <c r="D379" s="19" t="s">
        <v>241</v>
      </c>
      <c r="E379" s="13" t="s">
        <v>79</v>
      </c>
      <c r="F379" s="7">
        <v>44865</v>
      </c>
      <c r="H379" s="2">
        <v>1</v>
      </c>
      <c r="I379" s="217" t="s">
        <v>258</v>
      </c>
    </row>
    <row r="380" spans="2:9" ht="21" customHeight="1" x14ac:dyDescent="0.3">
      <c r="B380" s="13" t="s">
        <v>277</v>
      </c>
      <c r="C380" s="13" t="s">
        <v>232</v>
      </c>
      <c r="D380" s="19" t="s">
        <v>246</v>
      </c>
      <c r="E380" s="13" t="s">
        <v>79</v>
      </c>
      <c r="F380" s="7">
        <v>44858</v>
      </c>
      <c r="H380" s="2">
        <v>1</v>
      </c>
      <c r="I380" s="217" t="s">
        <v>258</v>
      </c>
    </row>
    <row r="381" spans="2:9" ht="21" customHeight="1" x14ac:dyDescent="0.3">
      <c r="B381" s="13" t="s">
        <v>311</v>
      </c>
      <c r="C381" s="13" t="s">
        <v>232</v>
      </c>
      <c r="D381" s="19" t="s">
        <v>241</v>
      </c>
      <c r="E381" s="13" t="s">
        <v>79</v>
      </c>
      <c r="F381" s="7">
        <v>44858</v>
      </c>
      <c r="H381" s="2">
        <v>1</v>
      </c>
      <c r="I381" s="217" t="s">
        <v>258</v>
      </c>
    </row>
    <row r="382" spans="2:9" ht="21" customHeight="1" x14ac:dyDescent="0.3">
      <c r="B382" s="13" t="s">
        <v>309</v>
      </c>
      <c r="C382" s="13" t="s">
        <v>232</v>
      </c>
      <c r="D382" s="19" t="s">
        <v>244</v>
      </c>
      <c r="E382" s="13" t="s">
        <v>79</v>
      </c>
      <c r="F382" s="7">
        <v>44853</v>
      </c>
      <c r="H382" s="2">
        <v>1</v>
      </c>
      <c r="I382" s="217" t="s">
        <v>258</v>
      </c>
    </row>
    <row r="383" spans="2:9" ht="21" customHeight="1" x14ac:dyDescent="0.3">
      <c r="B383" s="13" t="s">
        <v>219</v>
      </c>
      <c r="C383" s="13" t="s">
        <v>233</v>
      </c>
      <c r="D383" s="19" t="s">
        <v>241</v>
      </c>
      <c r="E383" s="13" t="s">
        <v>79</v>
      </c>
      <c r="F383" s="7">
        <v>44862</v>
      </c>
      <c r="H383" s="2">
        <v>1</v>
      </c>
      <c r="I383" s="217" t="s">
        <v>258</v>
      </c>
    </row>
    <row r="384" spans="2:9" ht="21" customHeight="1" x14ac:dyDescent="0.3">
      <c r="B384" s="13" t="s">
        <v>228</v>
      </c>
      <c r="C384" s="13" t="s">
        <v>233</v>
      </c>
      <c r="D384" s="19" t="s">
        <v>246</v>
      </c>
      <c r="E384" s="13" t="s">
        <v>281</v>
      </c>
      <c r="F384" s="7">
        <v>44858</v>
      </c>
      <c r="H384" s="2">
        <v>0.5</v>
      </c>
      <c r="I384" s="217" t="s">
        <v>281</v>
      </c>
    </row>
    <row r="385" spans="2:9" ht="21" customHeight="1" x14ac:dyDescent="0.3">
      <c r="B385" s="13" t="s">
        <v>228</v>
      </c>
      <c r="C385" s="13" t="s">
        <v>233</v>
      </c>
      <c r="D385" s="19" t="s">
        <v>246</v>
      </c>
      <c r="E385" s="13" t="s">
        <v>281</v>
      </c>
      <c r="F385" s="7">
        <v>44861</v>
      </c>
      <c r="H385" s="2">
        <v>0.5</v>
      </c>
      <c r="I385" s="217" t="s">
        <v>281</v>
      </c>
    </row>
    <row r="386" spans="2:9" ht="21" customHeight="1" x14ac:dyDescent="0.3">
      <c r="B386" s="13" t="s">
        <v>317</v>
      </c>
      <c r="C386" s="13" t="s">
        <v>233</v>
      </c>
      <c r="D386" s="19" t="s">
        <v>246</v>
      </c>
      <c r="E386" s="13" t="s">
        <v>79</v>
      </c>
      <c r="F386" s="7">
        <v>44865</v>
      </c>
      <c r="H386" s="2">
        <v>1</v>
      </c>
      <c r="I386" s="217" t="s">
        <v>258</v>
      </c>
    </row>
    <row r="387" spans="2:9" ht="21" customHeight="1" x14ac:dyDescent="0.3">
      <c r="B387" s="13" t="s">
        <v>260</v>
      </c>
      <c r="C387" s="13" t="s">
        <v>235</v>
      </c>
      <c r="D387" s="19" t="s">
        <v>244</v>
      </c>
      <c r="E387" s="13" t="s">
        <v>281</v>
      </c>
      <c r="F387" s="7">
        <v>44859</v>
      </c>
      <c r="H387" s="2">
        <v>0.5</v>
      </c>
      <c r="I387" s="217" t="s">
        <v>281</v>
      </c>
    </row>
    <row r="388" spans="2:9" ht="21" customHeight="1" x14ac:dyDescent="0.3">
      <c r="B388" s="13" t="s">
        <v>265</v>
      </c>
      <c r="C388" s="13" t="s">
        <v>235</v>
      </c>
      <c r="D388" s="19" t="s">
        <v>246</v>
      </c>
      <c r="E388" s="13" t="s">
        <v>281</v>
      </c>
      <c r="F388" s="7">
        <v>44848</v>
      </c>
      <c r="H388" s="2">
        <v>0.5</v>
      </c>
      <c r="I388" s="217" t="s">
        <v>281</v>
      </c>
    </row>
    <row r="389" spans="2:9" ht="21" customHeight="1" x14ac:dyDescent="0.3">
      <c r="B389" s="13" t="s">
        <v>265</v>
      </c>
      <c r="C389" s="13" t="s">
        <v>235</v>
      </c>
      <c r="D389" s="19" t="s">
        <v>246</v>
      </c>
      <c r="E389" s="13" t="s">
        <v>281</v>
      </c>
      <c r="F389" s="7">
        <v>44851</v>
      </c>
      <c r="H389" s="2">
        <v>0.5</v>
      </c>
      <c r="I389" s="217" t="s">
        <v>281</v>
      </c>
    </row>
    <row r="390" spans="2:9" ht="21" customHeight="1" x14ac:dyDescent="0.3">
      <c r="B390" s="13" t="s">
        <v>265</v>
      </c>
      <c r="C390" s="13" t="s">
        <v>235</v>
      </c>
      <c r="D390" s="19" t="s">
        <v>246</v>
      </c>
      <c r="E390" s="13" t="s">
        <v>281</v>
      </c>
      <c r="F390" s="7">
        <v>44854</v>
      </c>
      <c r="H390" s="2">
        <v>0.5</v>
      </c>
      <c r="I390" s="217" t="s">
        <v>281</v>
      </c>
    </row>
    <row r="391" spans="2:9" ht="21" customHeight="1" x14ac:dyDescent="0.3">
      <c r="B391" s="13" t="s">
        <v>275</v>
      </c>
      <c r="C391" s="13" t="s">
        <v>235</v>
      </c>
      <c r="D391" s="19" t="s">
        <v>246</v>
      </c>
      <c r="E391" s="13" t="s">
        <v>79</v>
      </c>
      <c r="F391" s="7">
        <v>44838</v>
      </c>
      <c r="H391" s="2">
        <v>1</v>
      </c>
      <c r="I391" s="217" t="s">
        <v>258</v>
      </c>
    </row>
    <row r="392" spans="2:9" ht="21" customHeight="1" x14ac:dyDescent="0.3">
      <c r="B392" s="13" t="s">
        <v>275</v>
      </c>
      <c r="C392" s="13" t="s">
        <v>235</v>
      </c>
      <c r="D392" s="19" t="s">
        <v>246</v>
      </c>
      <c r="E392" s="13" t="s">
        <v>79</v>
      </c>
      <c r="F392" s="7">
        <v>44841</v>
      </c>
      <c r="H392" s="2">
        <v>1</v>
      </c>
      <c r="I392" s="217" t="s">
        <v>258</v>
      </c>
    </row>
    <row r="393" spans="2:9" ht="21" customHeight="1" x14ac:dyDescent="0.3">
      <c r="B393" s="13" t="s">
        <v>275</v>
      </c>
      <c r="C393" s="13" t="s">
        <v>235</v>
      </c>
      <c r="D393" s="19" t="s">
        <v>246</v>
      </c>
      <c r="E393" s="13" t="s">
        <v>281</v>
      </c>
      <c r="F393" s="7">
        <v>44846</v>
      </c>
      <c r="H393" s="2">
        <v>0.5</v>
      </c>
      <c r="I393" s="217" t="s">
        <v>281</v>
      </c>
    </row>
    <row r="394" spans="2:9" ht="21" customHeight="1" x14ac:dyDescent="0.3">
      <c r="B394" s="13" t="s">
        <v>275</v>
      </c>
      <c r="C394" s="13" t="s">
        <v>235</v>
      </c>
      <c r="D394" s="19" t="s">
        <v>246</v>
      </c>
      <c r="E394" s="13" t="s">
        <v>79</v>
      </c>
      <c r="F394" s="7">
        <v>44847</v>
      </c>
      <c r="H394" s="2">
        <v>1</v>
      </c>
      <c r="I394" s="217" t="s">
        <v>258</v>
      </c>
    </row>
    <row r="395" spans="2:9" ht="21" customHeight="1" x14ac:dyDescent="0.3">
      <c r="B395" s="13" t="s">
        <v>275</v>
      </c>
      <c r="C395" s="13" t="s">
        <v>235</v>
      </c>
      <c r="D395" s="19" t="s">
        <v>246</v>
      </c>
      <c r="E395" s="13" t="s">
        <v>79</v>
      </c>
      <c r="F395" s="7">
        <v>44848</v>
      </c>
      <c r="H395" s="2">
        <v>1</v>
      </c>
      <c r="I395" s="217" t="s">
        <v>258</v>
      </c>
    </row>
    <row r="396" spans="2:9" ht="21" customHeight="1" x14ac:dyDescent="0.3">
      <c r="B396" s="13" t="s">
        <v>275</v>
      </c>
      <c r="C396" s="13" t="s">
        <v>235</v>
      </c>
      <c r="D396" s="19" t="s">
        <v>246</v>
      </c>
      <c r="E396" s="13" t="s">
        <v>281</v>
      </c>
      <c r="F396" s="7">
        <v>44851</v>
      </c>
      <c r="H396" s="2">
        <v>0.5</v>
      </c>
      <c r="I396" s="217" t="s">
        <v>281</v>
      </c>
    </row>
    <row r="397" spans="2:9" ht="21" customHeight="1" x14ac:dyDescent="0.3">
      <c r="B397" s="13" t="s">
        <v>275</v>
      </c>
      <c r="C397" s="13" t="s">
        <v>235</v>
      </c>
      <c r="D397" s="19" t="s">
        <v>246</v>
      </c>
      <c r="E397" s="13" t="s">
        <v>79</v>
      </c>
      <c r="F397" s="7">
        <v>44852</v>
      </c>
      <c r="H397" s="2">
        <v>1</v>
      </c>
      <c r="I397" s="217" t="s">
        <v>258</v>
      </c>
    </row>
    <row r="398" spans="2:9" ht="21" customHeight="1" x14ac:dyDescent="0.3">
      <c r="B398" s="13" t="s">
        <v>275</v>
      </c>
      <c r="C398" s="13" t="s">
        <v>235</v>
      </c>
      <c r="D398" s="19" t="s">
        <v>246</v>
      </c>
      <c r="E398" s="13" t="s">
        <v>79</v>
      </c>
      <c r="F398" s="7">
        <v>44854</v>
      </c>
      <c r="H398" s="2">
        <v>1</v>
      </c>
      <c r="I398" s="217" t="s">
        <v>258</v>
      </c>
    </row>
    <row r="399" spans="2:9" ht="21" customHeight="1" x14ac:dyDescent="0.3">
      <c r="B399" s="13" t="s">
        <v>276</v>
      </c>
      <c r="C399" s="13" t="s">
        <v>235</v>
      </c>
      <c r="D399" s="19" t="s">
        <v>243</v>
      </c>
      <c r="E399" s="13" t="s">
        <v>79</v>
      </c>
      <c r="F399" s="7">
        <v>44855</v>
      </c>
      <c r="H399" s="2">
        <v>1</v>
      </c>
      <c r="I399" s="217" t="s">
        <v>258</v>
      </c>
    </row>
    <row r="400" spans="2:9" ht="21" customHeight="1" x14ac:dyDescent="0.3">
      <c r="B400" s="13" t="s">
        <v>229</v>
      </c>
      <c r="C400" s="13" t="s">
        <v>232</v>
      </c>
      <c r="D400" s="19" t="s">
        <v>244</v>
      </c>
      <c r="E400" s="13" t="s">
        <v>79</v>
      </c>
      <c r="F400" s="7">
        <v>44872</v>
      </c>
      <c r="H400" s="2">
        <v>1</v>
      </c>
      <c r="I400" s="217" t="s">
        <v>258</v>
      </c>
    </row>
    <row r="401" spans="2:9" ht="21" customHeight="1" x14ac:dyDescent="0.3">
      <c r="B401" s="13" t="s">
        <v>267</v>
      </c>
      <c r="C401" s="13" t="s">
        <v>232</v>
      </c>
      <c r="D401" s="19" t="s">
        <v>241</v>
      </c>
      <c r="E401" s="13" t="s">
        <v>79</v>
      </c>
      <c r="F401" s="7">
        <v>44879</v>
      </c>
      <c r="H401" s="2">
        <v>1</v>
      </c>
      <c r="I401" s="217" t="s">
        <v>258</v>
      </c>
    </row>
    <row r="402" spans="2:9" ht="21" customHeight="1" x14ac:dyDescent="0.3">
      <c r="B402" s="13" t="s">
        <v>267</v>
      </c>
      <c r="C402" s="13" t="s">
        <v>232</v>
      </c>
      <c r="D402" s="19" t="s">
        <v>241</v>
      </c>
      <c r="E402" s="13" t="s">
        <v>79</v>
      </c>
      <c r="F402" s="7">
        <v>44890</v>
      </c>
      <c r="H402" s="2">
        <v>1</v>
      </c>
      <c r="I402" s="217" t="s">
        <v>258</v>
      </c>
    </row>
    <row r="403" spans="2:9" ht="21" customHeight="1" x14ac:dyDescent="0.3">
      <c r="B403" s="13" t="s">
        <v>277</v>
      </c>
      <c r="C403" s="13" t="s">
        <v>232</v>
      </c>
      <c r="D403" s="19" t="s">
        <v>246</v>
      </c>
      <c r="E403" s="13" t="s">
        <v>79</v>
      </c>
      <c r="F403" s="7">
        <v>44868</v>
      </c>
      <c r="H403" s="2">
        <v>1</v>
      </c>
      <c r="I403" s="217" t="s">
        <v>258</v>
      </c>
    </row>
    <row r="404" spans="2:9" ht="21" customHeight="1" x14ac:dyDescent="0.3">
      <c r="B404" s="13" t="s">
        <v>277</v>
      </c>
      <c r="C404" s="13" t="s">
        <v>232</v>
      </c>
      <c r="D404" s="19" t="s">
        <v>246</v>
      </c>
      <c r="E404" s="13" t="s">
        <v>79</v>
      </c>
      <c r="F404" s="7">
        <v>44893</v>
      </c>
      <c r="H404" s="2">
        <v>1</v>
      </c>
      <c r="I404" s="217" t="s">
        <v>258</v>
      </c>
    </row>
    <row r="405" spans="2:9" ht="21" customHeight="1" x14ac:dyDescent="0.3">
      <c r="B405" s="13" t="s">
        <v>309</v>
      </c>
      <c r="C405" s="13" t="s">
        <v>232</v>
      </c>
      <c r="D405" s="19" t="s">
        <v>244</v>
      </c>
      <c r="E405" s="13" t="s">
        <v>79</v>
      </c>
      <c r="F405" s="7">
        <v>44882</v>
      </c>
      <c r="H405" s="2">
        <v>1</v>
      </c>
      <c r="I405" s="217" t="s">
        <v>258</v>
      </c>
    </row>
    <row r="406" spans="2:9" ht="21" customHeight="1" x14ac:dyDescent="0.3">
      <c r="B406" s="13" t="s">
        <v>309</v>
      </c>
      <c r="C406" s="13" t="s">
        <v>232</v>
      </c>
      <c r="D406" s="19" t="s">
        <v>244</v>
      </c>
      <c r="E406" s="13" t="s">
        <v>318</v>
      </c>
      <c r="F406" s="7">
        <v>44889</v>
      </c>
      <c r="H406" s="2">
        <v>0.5</v>
      </c>
      <c r="I406" s="217" t="s">
        <v>281</v>
      </c>
    </row>
    <row r="407" spans="2:9" ht="21" customHeight="1" x14ac:dyDescent="0.3">
      <c r="B407" s="13" t="s">
        <v>219</v>
      </c>
      <c r="C407" s="13" t="s">
        <v>233</v>
      </c>
      <c r="D407" s="19" t="s">
        <v>241</v>
      </c>
      <c r="E407" s="13" t="s">
        <v>79</v>
      </c>
      <c r="F407" s="7">
        <v>44893</v>
      </c>
      <c r="H407" s="2">
        <v>1</v>
      </c>
      <c r="I407" s="217" t="s">
        <v>258</v>
      </c>
    </row>
    <row r="408" spans="2:9" ht="21" customHeight="1" x14ac:dyDescent="0.3">
      <c r="B408" s="13" t="s">
        <v>228</v>
      </c>
      <c r="C408" s="13" t="s">
        <v>233</v>
      </c>
      <c r="D408" s="19" t="s">
        <v>246</v>
      </c>
      <c r="E408" s="13" t="s">
        <v>79</v>
      </c>
      <c r="F408" s="7">
        <v>44876</v>
      </c>
      <c r="H408" s="2">
        <v>1</v>
      </c>
      <c r="I408" s="217" t="s">
        <v>258</v>
      </c>
    </row>
    <row r="409" spans="2:9" ht="21" customHeight="1" x14ac:dyDescent="0.3">
      <c r="B409" s="13" t="s">
        <v>228</v>
      </c>
      <c r="C409" s="13" t="s">
        <v>233</v>
      </c>
      <c r="D409" s="19" t="s">
        <v>246</v>
      </c>
      <c r="E409" s="13" t="s">
        <v>79</v>
      </c>
      <c r="F409" s="7">
        <v>44895</v>
      </c>
      <c r="H409" s="2">
        <v>1</v>
      </c>
      <c r="I409" s="217" t="s">
        <v>258</v>
      </c>
    </row>
    <row r="410" spans="2:9" ht="21" customHeight="1" x14ac:dyDescent="0.3">
      <c r="B410" s="13" t="s">
        <v>289</v>
      </c>
      <c r="C410" s="13" t="s">
        <v>233</v>
      </c>
      <c r="D410" s="19" t="s">
        <v>246</v>
      </c>
      <c r="E410" s="13" t="s">
        <v>79</v>
      </c>
      <c r="F410" s="7">
        <v>44875</v>
      </c>
      <c r="H410" s="2">
        <v>1</v>
      </c>
      <c r="I410" s="217" t="s">
        <v>258</v>
      </c>
    </row>
    <row r="411" spans="2:9" ht="21" customHeight="1" x14ac:dyDescent="0.3">
      <c r="B411" s="13" t="s">
        <v>289</v>
      </c>
      <c r="C411" s="13" t="s">
        <v>233</v>
      </c>
      <c r="D411" s="19" t="s">
        <v>246</v>
      </c>
      <c r="E411" s="13" t="s">
        <v>79</v>
      </c>
      <c r="F411" s="7">
        <v>44886</v>
      </c>
      <c r="H411" s="2">
        <v>1</v>
      </c>
      <c r="I411" s="217" t="s">
        <v>258</v>
      </c>
    </row>
    <row r="412" spans="2:9" ht="21" customHeight="1" x14ac:dyDescent="0.3">
      <c r="B412" s="13" t="s">
        <v>317</v>
      </c>
      <c r="C412" s="13" t="s">
        <v>233</v>
      </c>
      <c r="D412" s="19" t="s">
        <v>246</v>
      </c>
      <c r="E412" s="13" t="s">
        <v>79</v>
      </c>
      <c r="F412" s="7">
        <v>44890</v>
      </c>
      <c r="H412" s="2">
        <v>1</v>
      </c>
      <c r="I412" s="217" t="s">
        <v>258</v>
      </c>
    </row>
    <row r="413" spans="2:9" ht="21" customHeight="1" x14ac:dyDescent="0.3">
      <c r="B413" s="13" t="s">
        <v>260</v>
      </c>
      <c r="C413" s="13" t="s">
        <v>235</v>
      </c>
      <c r="D413" s="19" t="s">
        <v>244</v>
      </c>
      <c r="E413" s="13" t="s">
        <v>318</v>
      </c>
      <c r="F413" s="7">
        <v>44872</v>
      </c>
      <c r="H413" s="2">
        <v>0.5</v>
      </c>
      <c r="I413" s="217" t="s">
        <v>281</v>
      </c>
    </row>
    <row r="414" spans="2:9" ht="21" customHeight="1" x14ac:dyDescent="0.3">
      <c r="B414" s="13" t="s">
        <v>260</v>
      </c>
      <c r="C414" s="13" t="s">
        <v>235</v>
      </c>
      <c r="D414" s="19" t="s">
        <v>244</v>
      </c>
      <c r="E414" s="13" t="s">
        <v>318</v>
      </c>
      <c r="F414" s="7">
        <v>44876</v>
      </c>
      <c r="H414" s="2">
        <v>0.5</v>
      </c>
      <c r="I414" s="217" t="s">
        <v>281</v>
      </c>
    </row>
    <row r="415" spans="2:9" ht="21" customHeight="1" x14ac:dyDescent="0.3">
      <c r="B415" s="13" t="s">
        <v>260</v>
      </c>
      <c r="C415" s="13" t="s">
        <v>235</v>
      </c>
      <c r="D415" s="19" t="s">
        <v>244</v>
      </c>
      <c r="E415" s="13" t="s">
        <v>79</v>
      </c>
      <c r="F415" s="7">
        <v>44887</v>
      </c>
      <c r="H415" s="2">
        <v>1</v>
      </c>
      <c r="I415" s="217" t="s">
        <v>258</v>
      </c>
    </row>
    <row r="416" spans="2:9" ht="21" customHeight="1" x14ac:dyDescent="0.3">
      <c r="B416" s="13" t="s">
        <v>260</v>
      </c>
      <c r="C416" s="13" t="s">
        <v>235</v>
      </c>
      <c r="D416" s="19" t="s">
        <v>244</v>
      </c>
      <c r="E416" s="13" t="s">
        <v>318</v>
      </c>
      <c r="F416" s="7">
        <v>44889</v>
      </c>
      <c r="H416" s="2">
        <v>0.5</v>
      </c>
      <c r="I416" s="217" t="s">
        <v>281</v>
      </c>
    </row>
    <row r="417" spans="2:9" ht="21" customHeight="1" x14ac:dyDescent="0.3">
      <c r="B417" s="13" t="s">
        <v>260</v>
      </c>
      <c r="C417" s="13" t="s">
        <v>235</v>
      </c>
      <c r="D417" s="19" t="s">
        <v>244</v>
      </c>
      <c r="E417" s="13" t="s">
        <v>318</v>
      </c>
      <c r="F417" s="7">
        <v>44890</v>
      </c>
      <c r="H417" s="2">
        <v>0.5</v>
      </c>
      <c r="I417" s="217" t="s">
        <v>281</v>
      </c>
    </row>
    <row r="418" spans="2:9" ht="21" customHeight="1" x14ac:dyDescent="0.3">
      <c r="B418" s="13" t="s">
        <v>260</v>
      </c>
      <c r="C418" s="13" t="s">
        <v>235</v>
      </c>
      <c r="D418" s="19" t="s">
        <v>244</v>
      </c>
      <c r="E418" s="13" t="s">
        <v>79</v>
      </c>
      <c r="F418" s="7">
        <v>44895</v>
      </c>
      <c r="H418" s="2">
        <v>1</v>
      </c>
      <c r="I418" s="217" t="s">
        <v>258</v>
      </c>
    </row>
    <row r="419" spans="2:9" ht="21" customHeight="1" x14ac:dyDescent="0.3">
      <c r="B419" s="13" t="s">
        <v>265</v>
      </c>
      <c r="C419" s="13" t="s">
        <v>235</v>
      </c>
      <c r="D419" s="19" t="s">
        <v>246</v>
      </c>
      <c r="E419" s="13" t="s">
        <v>318</v>
      </c>
      <c r="F419" s="7">
        <v>44890</v>
      </c>
      <c r="H419" s="2">
        <v>0.5</v>
      </c>
      <c r="I419" s="217" t="s">
        <v>281</v>
      </c>
    </row>
    <row r="420" spans="2:9" ht="21" customHeight="1" x14ac:dyDescent="0.3">
      <c r="B420" s="13" t="s">
        <v>275</v>
      </c>
      <c r="C420" s="13" t="s">
        <v>235</v>
      </c>
      <c r="D420" s="19" t="s">
        <v>246</v>
      </c>
      <c r="E420" s="13" t="s">
        <v>318</v>
      </c>
      <c r="F420" s="7">
        <v>44866</v>
      </c>
      <c r="H420" s="2">
        <v>0.5</v>
      </c>
      <c r="I420" s="217" t="s">
        <v>281</v>
      </c>
    </row>
    <row r="421" spans="2:9" ht="21" customHeight="1" x14ac:dyDescent="0.3">
      <c r="B421" s="13" t="s">
        <v>275</v>
      </c>
      <c r="C421" s="13" t="s">
        <v>235</v>
      </c>
      <c r="D421" s="19" t="s">
        <v>246</v>
      </c>
      <c r="E421" s="13" t="s">
        <v>318</v>
      </c>
      <c r="F421" s="7">
        <v>44868</v>
      </c>
      <c r="H421" s="2">
        <v>0.5</v>
      </c>
      <c r="I421" s="217" t="s">
        <v>281</v>
      </c>
    </row>
    <row r="422" spans="2:9" ht="21" customHeight="1" x14ac:dyDescent="0.3">
      <c r="B422" s="13" t="s">
        <v>275</v>
      </c>
      <c r="C422" s="13" t="s">
        <v>235</v>
      </c>
      <c r="D422" s="19" t="s">
        <v>246</v>
      </c>
      <c r="E422" s="13" t="s">
        <v>318</v>
      </c>
      <c r="F422" s="7">
        <v>44876</v>
      </c>
      <c r="H422" s="2">
        <v>0.5</v>
      </c>
      <c r="I422" s="217" t="s">
        <v>281</v>
      </c>
    </row>
    <row r="423" spans="2:9" ht="21" customHeight="1" x14ac:dyDescent="0.3">
      <c r="B423" s="13" t="s">
        <v>275</v>
      </c>
      <c r="C423" s="13" t="s">
        <v>235</v>
      </c>
      <c r="D423" s="19" t="s">
        <v>246</v>
      </c>
      <c r="E423" s="13" t="s">
        <v>318</v>
      </c>
      <c r="F423" s="7">
        <v>44886</v>
      </c>
      <c r="H423" s="2">
        <v>0.5</v>
      </c>
      <c r="I423" s="217" t="s">
        <v>281</v>
      </c>
    </row>
    <row r="424" spans="2:9" ht="21" customHeight="1" x14ac:dyDescent="0.3">
      <c r="B424" s="13" t="s">
        <v>275</v>
      </c>
      <c r="C424" s="13" t="s">
        <v>235</v>
      </c>
      <c r="D424" s="19" t="s">
        <v>246</v>
      </c>
      <c r="E424" s="13" t="s">
        <v>318</v>
      </c>
      <c r="F424" s="7">
        <v>44893</v>
      </c>
      <c r="H424" s="2">
        <v>0.5</v>
      </c>
      <c r="I424" s="217" t="s">
        <v>281</v>
      </c>
    </row>
    <row r="425" spans="2:9" ht="21" customHeight="1" x14ac:dyDescent="0.3">
      <c r="B425" s="13" t="s">
        <v>276</v>
      </c>
      <c r="C425" s="13" t="s">
        <v>235</v>
      </c>
      <c r="D425" s="19" t="s">
        <v>243</v>
      </c>
      <c r="E425" s="13" t="s">
        <v>79</v>
      </c>
      <c r="F425" s="7">
        <v>44894</v>
      </c>
      <c r="H425" s="2">
        <v>1</v>
      </c>
      <c r="I425" s="217" t="s">
        <v>258</v>
      </c>
    </row>
    <row r="426" spans="2:9" ht="21" customHeight="1" x14ac:dyDescent="0.3">
      <c r="B426" s="13" t="s">
        <v>267</v>
      </c>
      <c r="C426" s="13" t="s">
        <v>232</v>
      </c>
      <c r="D426" s="19" t="s">
        <v>241</v>
      </c>
      <c r="E426" s="13" t="s">
        <v>258</v>
      </c>
      <c r="F426" s="7">
        <v>44907</v>
      </c>
      <c r="H426" s="2">
        <v>1</v>
      </c>
      <c r="I426" s="217" t="s">
        <v>258</v>
      </c>
    </row>
    <row r="427" spans="2:9" ht="21" customHeight="1" x14ac:dyDescent="0.3">
      <c r="B427" s="13" t="s">
        <v>267</v>
      </c>
      <c r="C427" s="13" t="s">
        <v>232</v>
      </c>
      <c r="D427" s="19" t="s">
        <v>241</v>
      </c>
      <c r="E427" s="13" t="s">
        <v>258</v>
      </c>
      <c r="F427" s="7">
        <v>44924</v>
      </c>
      <c r="H427" s="2">
        <v>1</v>
      </c>
      <c r="I427" s="217" t="s">
        <v>258</v>
      </c>
    </row>
    <row r="428" spans="2:9" ht="21" customHeight="1" x14ac:dyDescent="0.3">
      <c r="B428" s="13" t="s">
        <v>277</v>
      </c>
      <c r="C428" s="13" t="s">
        <v>232</v>
      </c>
      <c r="D428" s="19" t="s">
        <v>246</v>
      </c>
      <c r="E428" s="13" t="s">
        <v>319</v>
      </c>
      <c r="F428" s="7">
        <v>44917</v>
      </c>
      <c r="H428" s="2">
        <v>0.5</v>
      </c>
      <c r="I428" s="217" t="s">
        <v>281</v>
      </c>
    </row>
    <row r="429" spans="2:9" ht="21" customHeight="1" x14ac:dyDescent="0.3">
      <c r="B429" s="13" t="s">
        <v>277</v>
      </c>
      <c r="C429" s="13" t="s">
        <v>232</v>
      </c>
      <c r="D429" s="19" t="s">
        <v>246</v>
      </c>
      <c r="E429" s="13" t="s">
        <v>320</v>
      </c>
      <c r="F429" s="7">
        <v>44921</v>
      </c>
      <c r="H429" s="2">
        <v>1</v>
      </c>
      <c r="I429" s="217" t="s">
        <v>258</v>
      </c>
    </row>
    <row r="430" spans="2:9" ht="21" customHeight="1" x14ac:dyDescent="0.3">
      <c r="B430" s="13" t="s">
        <v>219</v>
      </c>
      <c r="C430" s="13" t="s">
        <v>233</v>
      </c>
      <c r="D430" s="19" t="s">
        <v>241</v>
      </c>
      <c r="E430" s="13" t="s">
        <v>320</v>
      </c>
      <c r="F430" s="7">
        <v>44907</v>
      </c>
      <c r="H430" s="2">
        <v>1</v>
      </c>
      <c r="I430" s="217" t="s">
        <v>258</v>
      </c>
    </row>
    <row r="431" spans="2:9" ht="21" customHeight="1" x14ac:dyDescent="0.3">
      <c r="B431" s="13" t="s">
        <v>219</v>
      </c>
      <c r="C431" s="13" t="s">
        <v>233</v>
      </c>
      <c r="D431" s="19" t="s">
        <v>241</v>
      </c>
      <c r="E431" s="13" t="s">
        <v>320</v>
      </c>
      <c r="F431" s="7">
        <v>44921</v>
      </c>
      <c r="H431" s="2">
        <v>1</v>
      </c>
      <c r="I431" s="217" t="s">
        <v>258</v>
      </c>
    </row>
    <row r="432" spans="2:9" ht="21" customHeight="1" x14ac:dyDescent="0.3">
      <c r="B432" s="13" t="s">
        <v>228</v>
      </c>
      <c r="C432" s="13" t="s">
        <v>233</v>
      </c>
      <c r="D432" s="19" t="s">
        <v>246</v>
      </c>
      <c r="E432" s="13" t="s">
        <v>320</v>
      </c>
      <c r="F432" s="7">
        <v>44918</v>
      </c>
      <c r="H432" s="2">
        <v>1</v>
      </c>
      <c r="I432" s="217" t="s">
        <v>258</v>
      </c>
    </row>
    <row r="433" spans="2:9" ht="21" customHeight="1" x14ac:dyDescent="0.3">
      <c r="B433" s="13" t="s">
        <v>228</v>
      </c>
      <c r="C433" s="13" t="s">
        <v>233</v>
      </c>
      <c r="D433" s="19" t="s">
        <v>246</v>
      </c>
      <c r="E433" s="13" t="s">
        <v>320</v>
      </c>
      <c r="F433" s="7">
        <v>44924</v>
      </c>
      <c r="H433" s="2">
        <v>1</v>
      </c>
      <c r="I433" s="217" t="s">
        <v>258</v>
      </c>
    </row>
    <row r="434" spans="2:9" ht="21" customHeight="1" x14ac:dyDescent="0.3">
      <c r="B434" s="13" t="s">
        <v>289</v>
      </c>
      <c r="C434" s="13" t="s">
        <v>233</v>
      </c>
      <c r="D434" s="19" t="s">
        <v>246</v>
      </c>
      <c r="E434" s="13" t="s">
        <v>320</v>
      </c>
      <c r="F434" s="7">
        <v>44900</v>
      </c>
      <c r="H434" s="2">
        <v>1</v>
      </c>
      <c r="I434" s="217" t="s">
        <v>258</v>
      </c>
    </row>
    <row r="435" spans="2:9" ht="21" customHeight="1" x14ac:dyDescent="0.3">
      <c r="B435" s="13" t="s">
        <v>289</v>
      </c>
      <c r="C435" s="13" t="s">
        <v>233</v>
      </c>
      <c r="D435" s="19" t="s">
        <v>246</v>
      </c>
      <c r="E435" s="13" t="s">
        <v>320</v>
      </c>
      <c r="F435" s="7">
        <v>44911</v>
      </c>
      <c r="H435" s="2">
        <v>1</v>
      </c>
      <c r="I435" s="217" t="s">
        <v>258</v>
      </c>
    </row>
    <row r="436" spans="2:9" ht="21" customHeight="1" x14ac:dyDescent="0.3">
      <c r="B436" s="13" t="s">
        <v>289</v>
      </c>
      <c r="C436" s="13" t="s">
        <v>233</v>
      </c>
      <c r="D436" s="19" t="s">
        <v>246</v>
      </c>
      <c r="E436" s="13" t="s">
        <v>320</v>
      </c>
      <c r="F436" s="7">
        <v>44923</v>
      </c>
      <c r="H436" s="2">
        <v>1</v>
      </c>
      <c r="I436" s="217" t="s">
        <v>258</v>
      </c>
    </row>
    <row r="437" spans="2:9" ht="21" customHeight="1" x14ac:dyDescent="0.3">
      <c r="B437" s="13" t="s">
        <v>317</v>
      </c>
      <c r="C437" s="13" t="s">
        <v>233</v>
      </c>
      <c r="D437" s="19" t="s">
        <v>246</v>
      </c>
      <c r="E437" s="13" t="s">
        <v>320</v>
      </c>
      <c r="F437" s="7">
        <v>44914</v>
      </c>
      <c r="H437" s="2">
        <v>1</v>
      </c>
      <c r="I437" s="217" t="s">
        <v>258</v>
      </c>
    </row>
    <row r="438" spans="2:9" ht="21" customHeight="1" x14ac:dyDescent="0.3">
      <c r="B438" s="13" t="s">
        <v>260</v>
      </c>
      <c r="C438" s="13" t="s">
        <v>235</v>
      </c>
      <c r="D438" s="19" t="s">
        <v>244</v>
      </c>
      <c r="E438" s="13" t="s">
        <v>281</v>
      </c>
      <c r="F438" s="7">
        <v>44904</v>
      </c>
      <c r="H438" s="2">
        <v>0.5</v>
      </c>
      <c r="I438" s="217" t="s">
        <v>281</v>
      </c>
    </row>
    <row r="439" spans="2:9" ht="21" customHeight="1" x14ac:dyDescent="0.3">
      <c r="B439" s="13" t="s">
        <v>260</v>
      </c>
      <c r="C439" s="13" t="s">
        <v>235</v>
      </c>
      <c r="D439" s="19" t="s">
        <v>244</v>
      </c>
      <c r="E439" s="13" t="s">
        <v>281</v>
      </c>
      <c r="F439" s="7">
        <v>44909</v>
      </c>
      <c r="H439" s="2">
        <v>0.5</v>
      </c>
      <c r="I439" s="217" t="s">
        <v>281</v>
      </c>
    </row>
    <row r="440" spans="2:9" ht="21" customHeight="1" x14ac:dyDescent="0.3">
      <c r="B440" s="13" t="s">
        <v>260</v>
      </c>
      <c r="C440" s="13" t="s">
        <v>235</v>
      </c>
      <c r="D440" s="19" t="s">
        <v>244</v>
      </c>
      <c r="E440" s="13" t="s">
        <v>281</v>
      </c>
      <c r="F440" s="7">
        <v>44911</v>
      </c>
      <c r="H440" s="2">
        <v>0.5</v>
      </c>
      <c r="I440" s="217" t="s">
        <v>281</v>
      </c>
    </row>
    <row r="441" spans="2:9" ht="21" customHeight="1" x14ac:dyDescent="0.3">
      <c r="B441" s="13" t="s">
        <v>260</v>
      </c>
      <c r="C441" s="13" t="s">
        <v>235</v>
      </c>
      <c r="D441" s="19" t="s">
        <v>244</v>
      </c>
      <c r="E441" s="13" t="s">
        <v>281</v>
      </c>
      <c r="F441" s="7">
        <v>44914</v>
      </c>
      <c r="H441" s="2">
        <v>0.5</v>
      </c>
      <c r="I441" s="217" t="s">
        <v>281</v>
      </c>
    </row>
    <row r="442" spans="2:9" ht="21" customHeight="1" x14ac:dyDescent="0.3">
      <c r="B442" s="13" t="s">
        <v>260</v>
      </c>
      <c r="C442" s="13" t="s">
        <v>235</v>
      </c>
      <c r="D442" s="19" t="s">
        <v>244</v>
      </c>
      <c r="E442" s="13" t="s">
        <v>281</v>
      </c>
      <c r="F442" s="7">
        <v>44917</v>
      </c>
      <c r="H442" s="2">
        <v>0.5</v>
      </c>
      <c r="I442" s="217" t="s">
        <v>281</v>
      </c>
    </row>
    <row r="443" spans="2:9" ht="21" customHeight="1" x14ac:dyDescent="0.3">
      <c r="B443" s="13" t="s">
        <v>276</v>
      </c>
      <c r="C443" s="13" t="s">
        <v>235</v>
      </c>
      <c r="D443" s="19" t="s">
        <v>243</v>
      </c>
      <c r="E443" s="13" t="s">
        <v>258</v>
      </c>
      <c r="F443" s="7">
        <v>44915</v>
      </c>
      <c r="H443" s="2">
        <v>1</v>
      </c>
      <c r="I443" s="217" t="s">
        <v>258</v>
      </c>
    </row>
    <row r="444" spans="2:9" ht="21" customHeight="1" x14ac:dyDescent="0.3">
      <c r="B444" s="13" t="s">
        <v>291</v>
      </c>
      <c r="C444" s="13" t="s">
        <v>232</v>
      </c>
      <c r="D444" s="19" t="s">
        <v>241</v>
      </c>
      <c r="E444" s="13" t="s">
        <v>258</v>
      </c>
      <c r="F444" s="7">
        <v>44925</v>
      </c>
      <c r="H444" s="2">
        <v>1</v>
      </c>
      <c r="I444" s="217" t="s">
        <v>258</v>
      </c>
    </row>
    <row r="445" spans="2:9" ht="21" customHeight="1" x14ac:dyDescent="0.3">
      <c r="B445" s="13" t="s">
        <v>277</v>
      </c>
      <c r="C445" s="13" t="s">
        <v>232</v>
      </c>
      <c r="D445" s="19" t="s">
        <v>246</v>
      </c>
      <c r="E445" s="13" t="s">
        <v>79</v>
      </c>
      <c r="F445" s="7">
        <v>44942</v>
      </c>
      <c r="H445" s="2">
        <v>1</v>
      </c>
      <c r="I445" s="217" t="s">
        <v>283</v>
      </c>
    </row>
    <row r="446" spans="2:9" ht="21" customHeight="1" x14ac:dyDescent="0.3">
      <c r="B446" s="13" t="s">
        <v>228</v>
      </c>
      <c r="C446" s="13" t="s">
        <v>233</v>
      </c>
      <c r="D446" s="19" t="s">
        <v>246</v>
      </c>
      <c r="E446" s="13" t="s">
        <v>79</v>
      </c>
      <c r="F446" s="7">
        <v>44935</v>
      </c>
      <c r="H446" s="2">
        <v>1</v>
      </c>
      <c r="I446" s="217"/>
    </row>
    <row r="447" spans="2:9" ht="21" customHeight="1" x14ac:dyDescent="0.3">
      <c r="B447" s="13" t="s">
        <v>277</v>
      </c>
      <c r="C447" s="13" t="s">
        <v>232</v>
      </c>
      <c r="D447" s="19" t="s">
        <v>246</v>
      </c>
      <c r="E447" s="13" t="s">
        <v>79</v>
      </c>
      <c r="F447" s="7">
        <v>44970</v>
      </c>
      <c r="H447" s="2">
        <v>1</v>
      </c>
      <c r="I447" s="217" t="s">
        <v>79</v>
      </c>
    </row>
    <row r="448" spans="2:9" ht="21" customHeight="1" x14ac:dyDescent="0.3">
      <c r="B448" s="13" t="s">
        <v>325</v>
      </c>
      <c r="C448" s="13" t="s">
        <v>232</v>
      </c>
      <c r="D448" s="19" t="s">
        <v>244</v>
      </c>
      <c r="E448" s="13" t="s">
        <v>79</v>
      </c>
      <c r="F448" s="7">
        <v>44977</v>
      </c>
      <c r="H448" s="2">
        <v>1</v>
      </c>
      <c r="I448" s="217" t="s">
        <v>79</v>
      </c>
    </row>
    <row r="449" spans="2:9" ht="21" customHeight="1" x14ac:dyDescent="0.3">
      <c r="B449" s="13" t="s">
        <v>219</v>
      </c>
      <c r="C449" s="13" t="s">
        <v>233</v>
      </c>
      <c r="D449" s="19" t="s">
        <v>241</v>
      </c>
      <c r="E449" s="13" t="s">
        <v>79</v>
      </c>
      <c r="F449" s="7">
        <v>44980</v>
      </c>
      <c r="H449" s="2">
        <v>1</v>
      </c>
      <c r="I449" s="217"/>
    </row>
    <row r="450" spans="2:9" ht="21" customHeight="1" x14ac:dyDescent="0.3">
      <c r="B450" s="13" t="s">
        <v>289</v>
      </c>
      <c r="C450" s="13" t="s">
        <v>233</v>
      </c>
      <c r="D450" s="19" t="s">
        <v>246</v>
      </c>
      <c r="E450" s="13" t="s">
        <v>79</v>
      </c>
      <c r="F450" s="7">
        <v>44973</v>
      </c>
      <c r="H450" s="2">
        <v>1</v>
      </c>
      <c r="I450" s="217" t="s">
        <v>79</v>
      </c>
    </row>
    <row r="451" spans="2:9" ht="21" customHeight="1" x14ac:dyDescent="0.3">
      <c r="B451" s="13" t="s">
        <v>317</v>
      </c>
      <c r="C451" s="13" t="s">
        <v>233</v>
      </c>
      <c r="D451" s="19" t="s">
        <v>246</v>
      </c>
      <c r="E451" s="13" t="s">
        <v>79</v>
      </c>
      <c r="F451" s="7">
        <v>44970</v>
      </c>
      <c r="H451" s="2">
        <v>1</v>
      </c>
      <c r="I451" s="217" t="s">
        <v>79</v>
      </c>
    </row>
    <row r="452" spans="2:9" ht="21" customHeight="1" x14ac:dyDescent="0.3">
      <c r="B452" s="13" t="s">
        <v>260</v>
      </c>
      <c r="C452" s="13" t="s">
        <v>235</v>
      </c>
      <c r="D452" s="19" t="s">
        <v>244</v>
      </c>
      <c r="E452" s="13" t="s">
        <v>81</v>
      </c>
      <c r="F452" s="7">
        <v>44974</v>
      </c>
      <c r="H452" s="2">
        <v>0.5</v>
      </c>
      <c r="I452" s="217" t="s">
        <v>327</v>
      </c>
    </row>
    <row r="453" spans="2:9" ht="21" customHeight="1" x14ac:dyDescent="0.3">
      <c r="B453" s="13" t="s">
        <v>260</v>
      </c>
      <c r="C453" s="13" t="s">
        <v>235</v>
      </c>
      <c r="D453" s="19" t="s">
        <v>244</v>
      </c>
      <c r="E453" s="13" t="s">
        <v>81</v>
      </c>
      <c r="F453" s="7">
        <v>44981</v>
      </c>
      <c r="H453" s="2">
        <v>0.5</v>
      </c>
      <c r="I453" s="217" t="s">
        <v>327</v>
      </c>
    </row>
    <row r="454" spans="2:9" ht="21" customHeight="1" x14ac:dyDescent="0.3">
      <c r="B454" s="13" t="s">
        <v>267</v>
      </c>
      <c r="C454" s="13" t="s">
        <v>232</v>
      </c>
      <c r="D454" s="19" t="s">
        <v>241</v>
      </c>
      <c r="E454" s="13" t="s">
        <v>79</v>
      </c>
      <c r="F454" s="7">
        <v>45000</v>
      </c>
      <c r="H454" s="2">
        <v>1</v>
      </c>
      <c r="I454" s="217" t="s">
        <v>79</v>
      </c>
    </row>
    <row r="455" spans="2:9" ht="21" customHeight="1" x14ac:dyDescent="0.3">
      <c r="B455" s="13" t="s">
        <v>277</v>
      </c>
      <c r="C455" s="13" t="s">
        <v>232</v>
      </c>
      <c r="D455" s="19" t="s">
        <v>246</v>
      </c>
      <c r="E455" s="13" t="s">
        <v>79</v>
      </c>
      <c r="F455" s="7">
        <v>45005</v>
      </c>
      <c r="H455" s="2">
        <v>1</v>
      </c>
      <c r="I455" s="217" t="s">
        <v>79</v>
      </c>
    </row>
    <row r="456" spans="2:9" ht="21" customHeight="1" x14ac:dyDescent="0.3">
      <c r="B456" s="13" t="s">
        <v>309</v>
      </c>
      <c r="C456" s="13" t="s">
        <v>232</v>
      </c>
      <c r="D456" s="19" t="s">
        <v>244</v>
      </c>
      <c r="E456" s="13" t="s">
        <v>79</v>
      </c>
      <c r="F456" s="7">
        <v>44994</v>
      </c>
      <c r="H456" s="2">
        <v>1</v>
      </c>
      <c r="I456" s="217" t="s">
        <v>79</v>
      </c>
    </row>
    <row r="457" spans="2:9" ht="21" customHeight="1" x14ac:dyDescent="0.3">
      <c r="B457" s="13" t="s">
        <v>219</v>
      </c>
      <c r="C457" s="13" t="s">
        <v>233</v>
      </c>
      <c r="D457" s="19" t="s">
        <v>241</v>
      </c>
      <c r="E457" s="13" t="s">
        <v>79</v>
      </c>
      <c r="F457" s="7">
        <v>45005</v>
      </c>
      <c r="H457" s="2">
        <v>1</v>
      </c>
      <c r="I457" s="217" t="s">
        <v>79</v>
      </c>
    </row>
    <row r="458" spans="2:9" ht="21" customHeight="1" x14ac:dyDescent="0.3">
      <c r="B458" s="13" t="s">
        <v>228</v>
      </c>
      <c r="C458" s="13" t="s">
        <v>233</v>
      </c>
      <c r="D458" s="19" t="s">
        <v>246</v>
      </c>
      <c r="E458" s="13" t="s">
        <v>79</v>
      </c>
      <c r="F458" s="7">
        <v>45012</v>
      </c>
      <c r="H458" s="2">
        <v>1</v>
      </c>
      <c r="I458" s="217" t="s">
        <v>79</v>
      </c>
    </row>
    <row r="459" spans="2:9" ht="21" customHeight="1" x14ac:dyDescent="0.3">
      <c r="B459" s="13" t="s">
        <v>289</v>
      </c>
      <c r="C459" s="13" t="s">
        <v>233</v>
      </c>
      <c r="D459" s="19" t="s">
        <v>246</v>
      </c>
      <c r="E459" s="13" t="s">
        <v>79</v>
      </c>
      <c r="F459" s="7">
        <v>44998</v>
      </c>
      <c r="H459" s="2">
        <v>1</v>
      </c>
      <c r="I459" s="217" t="s">
        <v>79</v>
      </c>
    </row>
    <row r="460" spans="2:9" ht="21" customHeight="1" x14ac:dyDescent="0.3">
      <c r="B460" s="13" t="s">
        <v>317</v>
      </c>
      <c r="C460" s="13" t="s">
        <v>233</v>
      </c>
      <c r="D460" s="19" t="s">
        <v>246</v>
      </c>
      <c r="E460" s="13" t="s">
        <v>79</v>
      </c>
      <c r="F460" s="7">
        <v>45005</v>
      </c>
      <c r="H460" s="2">
        <v>1</v>
      </c>
      <c r="I460" s="217" t="s">
        <v>79</v>
      </c>
    </row>
    <row r="461" spans="2:9" ht="21" customHeight="1" x14ac:dyDescent="0.3">
      <c r="B461" s="13" t="s">
        <v>276</v>
      </c>
      <c r="C461" s="13" t="s">
        <v>235</v>
      </c>
      <c r="D461" s="19" t="s">
        <v>243</v>
      </c>
      <c r="E461" s="13" t="s">
        <v>79</v>
      </c>
      <c r="F461" s="7">
        <v>44991</v>
      </c>
      <c r="H461" s="2">
        <v>1</v>
      </c>
      <c r="I461" s="217" t="s">
        <v>79</v>
      </c>
    </row>
    <row r="462" spans="2:9" ht="21" customHeight="1" x14ac:dyDescent="0.3">
      <c r="B462" s="13" t="s">
        <v>276</v>
      </c>
      <c r="C462" s="13" t="s">
        <v>235</v>
      </c>
      <c r="D462" s="19" t="s">
        <v>243</v>
      </c>
      <c r="E462" s="13" t="s">
        <v>81</v>
      </c>
      <c r="F462" s="7">
        <v>45001</v>
      </c>
      <c r="H462" s="2">
        <v>0.5</v>
      </c>
      <c r="I462" s="217" t="s">
        <v>281</v>
      </c>
    </row>
    <row r="463" spans="2:9" ht="21" customHeight="1" x14ac:dyDescent="0.3">
      <c r="B463" s="13" t="s">
        <v>276</v>
      </c>
      <c r="C463" s="13" t="s">
        <v>235</v>
      </c>
      <c r="D463" s="19" t="s">
        <v>243</v>
      </c>
      <c r="E463" s="13" t="s">
        <v>81</v>
      </c>
      <c r="F463" s="7">
        <v>45008</v>
      </c>
      <c r="H463" s="2">
        <v>0.5</v>
      </c>
      <c r="I463" s="217" t="s">
        <v>281</v>
      </c>
    </row>
    <row r="464" spans="2:9" ht="21" customHeight="1" x14ac:dyDescent="0.3">
      <c r="B464" s="13" t="s">
        <v>328</v>
      </c>
      <c r="C464" s="13" t="s">
        <v>235</v>
      </c>
      <c r="D464" s="19" t="s">
        <v>246</v>
      </c>
      <c r="E464" s="13" t="s">
        <v>81</v>
      </c>
      <c r="F464" s="7">
        <v>45005</v>
      </c>
      <c r="H464" s="2">
        <v>0.5</v>
      </c>
      <c r="I464" s="217" t="s">
        <v>281</v>
      </c>
    </row>
    <row r="465" spans="2:9" ht="21" customHeight="1" x14ac:dyDescent="0.3">
      <c r="B465" s="13" t="s">
        <v>260</v>
      </c>
      <c r="C465" s="13" t="s">
        <v>235</v>
      </c>
      <c r="D465" s="19" t="s">
        <v>244</v>
      </c>
      <c r="E465" s="13" t="s">
        <v>79</v>
      </c>
      <c r="F465" s="7">
        <v>44992</v>
      </c>
      <c r="H465" s="2">
        <v>1</v>
      </c>
      <c r="I465" s="217" t="s">
        <v>79</v>
      </c>
    </row>
    <row r="466" spans="2:9" ht="21" customHeight="1" x14ac:dyDescent="0.3">
      <c r="B466" s="13" t="s">
        <v>260</v>
      </c>
      <c r="C466" s="13" t="s">
        <v>235</v>
      </c>
      <c r="D466" s="19" t="s">
        <v>244</v>
      </c>
      <c r="E466" s="13" t="s">
        <v>81</v>
      </c>
      <c r="F466" s="7">
        <v>44999</v>
      </c>
      <c r="H466" s="2">
        <v>0.5</v>
      </c>
      <c r="I466" s="217" t="s">
        <v>281</v>
      </c>
    </row>
    <row r="467" spans="2:9" ht="21" customHeight="1" x14ac:dyDescent="0.3">
      <c r="B467" s="13" t="s">
        <v>260</v>
      </c>
      <c r="C467" s="13" t="s">
        <v>235</v>
      </c>
      <c r="D467" s="19" t="s">
        <v>244</v>
      </c>
      <c r="E467" s="13" t="s">
        <v>81</v>
      </c>
      <c r="F467" s="7">
        <v>45002</v>
      </c>
      <c r="H467" s="2">
        <v>0.5</v>
      </c>
      <c r="I467" s="217" t="s">
        <v>281</v>
      </c>
    </row>
    <row r="468" spans="2:9" ht="21" customHeight="1" x14ac:dyDescent="0.3">
      <c r="B468" s="13" t="s">
        <v>260</v>
      </c>
      <c r="C468" s="13" t="s">
        <v>235</v>
      </c>
      <c r="D468" s="19" t="s">
        <v>244</v>
      </c>
      <c r="E468" s="13" t="s">
        <v>79</v>
      </c>
      <c r="F468" s="7">
        <v>45005</v>
      </c>
      <c r="H468" s="2">
        <v>1</v>
      </c>
      <c r="I468" s="217" t="s">
        <v>79</v>
      </c>
    </row>
    <row r="469" spans="2:9" ht="21" customHeight="1" x14ac:dyDescent="0.3">
      <c r="B469" s="13" t="s">
        <v>260</v>
      </c>
      <c r="C469" s="13" t="s">
        <v>235</v>
      </c>
      <c r="D469" s="19" t="s">
        <v>244</v>
      </c>
      <c r="E469" s="13" t="s">
        <v>79</v>
      </c>
      <c r="F469" s="7">
        <v>45006</v>
      </c>
      <c r="H469" s="2">
        <v>1</v>
      </c>
      <c r="I469" s="217" t="s">
        <v>79</v>
      </c>
    </row>
    <row r="470" spans="2:9" ht="21" customHeight="1" x14ac:dyDescent="0.3">
      <c r="B470" s="13" t="s">
        <v>260</v>
      </c>
      <c r="C470" s="13" t="s">
        <v>235</v>
      </c>
      <c r="D470" s="19" t="s">
        <v>244</v>
      </c>
      <c r="E470" s="13" t="s">
        <v>79</v>
      </c>
      <c r="F470" s="7">
        <v>45007</v>
      </c>
      <c r="H470" s="2">
        <v>1</v>
      </c>
      <c r="I470" s="217" t="s">
        <v>79</v>
      </c>
    </row>
    <row r="471" spans="2:9" ht="21" customHeight="1" x14ac:dyDescent="0.3">
      <c r="B471" s="13" t="s">
        <v>260</v>
      </c>
      <c r="C471" s="13" t="s">
        <v>235</v>
      </c>
      <c r="D471" s="19" t="s">
        <v>244</v>
      </c>
      <c r="E471" s="13" t="s">
        <v>79</v>
      </c>
      <c r="F471" s="7">
        <v>45008</v>
      </c>
      <c r="H471" s="2">
        <v>1</v>
      </c>
      <c r="I471" s="217" t="s">
        <v>79</v>
      </c>
    </row>
    <row r="472" spans="2:9" ht="21" customHeight="1" x14ac:dyDescent="0.3">
      <c r="B472" s="13" t="s">
        <v>260</v>
      </c>
      <c r="C472" s="13" t="s">
        <v>235</v>
      </c>
      <c r="D472" s="19" t="s">
        <v>244</v>
      </c>
      <c r="E472" s="13" t="s">
        <v>79</v>
      </c>
      <c r="F472" s="7">
        <v>45009</v>
      </c>
      <c r="H472" s="2">
        <v>1</v>
      </c>
      <c r="I472" s="217" t="s">
        <v>79</v>
      </c>
    </row>
    <row r="473" spans="2:9" ht="21" customHeight="1" x14ac:dyDescent="0.3">
      <c r="B473" s="13" t="s">
        <v>260</v>
      </c>
      <c r="C473" s="13" t="s">
        <v>235</v>
      </c>
      <c r="D473" s="19" t="s">
        <v>244</v>
      </c>
      <c r="E473" s="13" t="s">
        <v>79</v>
      </c>
      <c r="F473" s="7">
        <v>45012</v>
      </c>
      <c r="H473" s="2">
        <v>1</v>
      </c>
      <c r="I473" s="217" t="s">
        <v>79</v>
      </c>
    </row>
    <row r="474" spans="2:9" ht="21" customHeight="1" x14ac:dyDescent="0.3">
      <c r="B474" s="13" t="s">
        <v>260</v>
      </c>
      <c r="C474" s="13" t="s">
        <v>235</v>
      </c>
      <c r="D474" s="19" t="s">
        <v>244</v>
      </c>
      <c r="E474" s="13" t="s">
        <v>79</v>
      </c>
      <c r="F474" s="7">
        <v>45013</v>
      </c>
      <c r="H474" s="2">
        <v>1</v>
      </c>
      <c r="I474" s="217" t="s">
        <v>79</v>
      </c>
    </row>
    <row r="475" spans="2:9" ht="21" customHeight="1" x14ac:dyDescent="0.3">
      <c r="B475" s="13" t="s">
        <v>260</v>
      </c>
      <c r="C475" s="13" t="s">
        <v>235</v>
      </c>
      <c r="D475" s="19" t="s">
        <v>244</v>
      </c>
      <c r="E475" s="13" t="s">
        <v>79</v>
      </c>
      <c r="F475" s="7">
        <v>45014</v>
      </c>
      <c r="H475" s="2">
        <v>1</v>
      </c>
      <c r="I475" s="217" t="s">
        <v>79</v>
      </c>
    </row>
    <row r="476" spans="2:9" ht="21" customHeight="1" x14ac:dyDescent="0.3">
      <c r="B476" s="13" t="s">
        <v>260</v>
      </c>
      <c r="C476" s="13" t="s">
        <v>235</v>
      </c>
      <c r="D476" s="19" t="s">
        <v>244</v>
      </c>
      <c r="E476" s="13" t="s">
        <v>79</v>
      </c>
      <c r="F476" s="7">
        <v>45015</v>
      </c>
      <c r="H476" s="2">
        <v>1</v>
      </c>
      <c r="I476" s="217" t="s">
        <v>79</v>
      </c>
    </row>
    <row r="477" spans="2:9" ht="21" customHeight="1" x14ac:dyDescent="0.3">
      <c r="B477" s="13" t="s">
        <v>260</v>
      </c>
      <c r="C477" s="13" t="s">
        <v>235</v>
      </c>
      <c r="D477" s="19" t="s">
        <v>244</v>
      </c>
      <c r="E477" s="13" t="s">
        <v>79</v>
      </c>
      <c r="F477" s="7">
        <v>45016</v>
      </c>
      <c r="H477" s="2">
        <v>1</v>
      </c>
      <c r="I477" s="217" t="s">
        <v>79</v>
      </c>
    </row>
    <row r="478" spans="2:9" ht="21" customHeight="1" x14ac:dyDescent="0.3">
      <c r="B478" s="13" t="s">
        <v>229</v>
      </c>
      <c r="C478" s="13" t="s">
        <v>232</v>
      </c>
      <c r="D478" s="19" t="s">
        <v>244</v>
      </c>
      <c r="E478" s="13" t="s">
        <v>79</v>
      </c>
      <c r="F478" s="7">
        <v>45026</v>
      </c>
      <c r="H478" s="2">
        <v>1</v>
      </c>
      <c r="I478" s="217" t="s">
        <v>79</v>
      </c>
    </row>
    <row r="479" spans="2:9" ht="21" customHeight="1" x14ac:dyDescent="0.3">
      <c r="B479" s="13" t="s">
        <v>277</v>
      </c>
      <c r="C479" s="13" t="s">
        <v>232</v>
      </c>
      <c r="D479" s="19" t="s">
        <v>246</v>
      </c>
      <c r="E479" s="13" t="s">
        <v>79</v>
      </c>
      <c r="F479" s="7">
        <v>45033</v>
      </c>
      <c r="H479" s="2">
        <v>1</v>
      </c>
      <c r="I479" s="217" t="s">
        <v>79</v>
      </c>
    </row>
    <row r="480" spans="2:9" ht="21" customHeight="1" x14ac:dyDescent="0.3">
      <c r="B480" s="13" t="s">
        <v>219</v>
      </c>
      <c r="C480" s="13" t="s">
        <v>233</v>
      </c>
      <c r="D480" s="19" t="s">
        <v>241</v>
      </c>
      <c r="E480" s="13" t="s">
        <v>79</v>
      </c>
      <c r="F480" s="7">
        <v>45033</v>
      </c>
      <c r="H480" s="2">
        <v>1</v>
      </c>
      <c r="I480" s="217" t="s">
        <v>79</v>
      </c>
    </row>
    <row r="481" spans="2:9" ht="21" customHeight="1" x14ac:dyDescent="0.3">
      <c r="B481" s="13" t="s">
        <v>228</v>
      </c>
      <c r="C481" s="13" t="s">
        <v>233</v>
      </c>
      <c r="D481" s="19" t="s">
        <v>246</v>
      </c>
      <c r="E481" s="13" t="s">
        <v>79</v>
      </c>
      <c r="F481" s="7">
        <v>45034</v>
      </c>
      <c r="H481" s="2">
        <v>1</v>
      </c>
      <c r="I481" s="217" t="s">
        <v>79</v>
      </c>
    </row>
    <row r="482" spans="2:9" ht="21" customHeight="1" x14ac:dyDescent="0.3">
      <c r="B482" s="13" t="s">
        <v>289</v>
      </c>
      <c r="C482" s="13" t="s">
        <v>233</v>
      </c>
      <c r="D482" s="19" t="s">
        <v>246</v>
      </c>
      <c r="E482" s="13" t="s">
        <v>79</v>
      </c>
      <c r="F482" s="7">
        <v>45026</v>
      </c>
      <c r="H482" s="2">
        <v>1</v>
      </c>
      <c r="I482" s="217" t="s">
        <v>79</v>
      </c>
    </row>
    <row r="483" spans="2:9" ht="21" customHeight="1" x14ac:dyDescent="0.3">
      <c r="B483" s="13" t="s">
        <v>317</v>
      </c>
      <c r="C483" s="13" t="s">
        <v>233</v>
      </c>
      <c r="D483" s="19" t="s">
        <v>246</v>
      </c>
      <c r="E483" s="13" t="s">
        <v>79</v>
      </c>
      <c r="F483" s="7">
        <v>45043</v>
      </c>
      <c r="H483" s="2">
        <v>1</v>
      </c>
      <c r="I483" s="217" t="s">
        <v>79</v>
      </c>
    </row>
    <row r="484" spans="2:9" ht="21" customHeight="1" x14ac:dyDescent="0.3">
      <c r="B484" s="13" t="s">
        <v>231</v>
      </c>
      <c r="C484" s="13" t="s">
        <v>235</v>
      </c>
      <c r="D484" s="19" t="s">
        <v>246</v>
      </c>
      <c r="E484" s="13" t="s">
        <v>79</v>
      </c>
      <c r="F484" s="7">
        <v>45042</v>
      </c>
      <c r="H484" s="2">
        <v>1</v>
      </c>
      <c r="I484" s="217" t="s">
        <v>79</v>
      </c>
    </row>
    <row r="485" spans="2:9" ht="21" customHeight="1" x14ac:dyDescent="0.3">
      <c r="B485" s="13" t="s">
        <v>276</v>
      </c>
      <c r="C485" s="13" t="s">
        <v>235</v>
      </c>
      <c r="D485" s="19" t="s">
        <v>243</v>
      </c>
      <c r="E485" s="13" t="s">
        <v>79</v>
      </c>
      <c r="F485" s="7">
        <v>45020</v>
      </c>
      <c r="H485" s="2">
        <v>1</v>
      </c>
      <c r="I485" s="217" t="s">
        <v>79</v>
      </c>
    </row>
    <row r="486" spans="2:9" ht="21" customHeight="1" x14ac:dyDescent="0.3">
      <c r="B486" s="13" t="s">
        <v>276</v>
      </c>
      <c r="C486" s="13" t="s">
        <v>235</v>
      </c>
      <c r="D486" s="19" t="s">
        <v>243</v>
      </c>
      <c r="E486" s="13" t="s">
        <v>79</v>
      </c>
      <c r="F486" s="7">
        <v>45026</v>
      </c>
      <c r="H486" s="2">
        <v>1</v>
      </c>
      <c r="I486" s="217" t="s">
        <v>79</v>
      </c>
    </row>
    <row r="487" spans="2:9" ht="21" customHeight="1" x14ac:dyDescent="0.3">
      <c r="B487" s="13" t="s">
        <v>276</v>
      </c>
      <c r="C487" s="13" t="s">
        <v>235</v>
      </c>
      <c r="D487" s="19" t="s">
        <v>243</v>
      </c>
      <c r="E487" s="13" t="s">
        <v>79</v>
      </c>
      <c r="F487" s="7">
        <v>45034</v>
      </c>
      <c r="H487" s="2">
        <v>1</v>
      </c>
      <c r="I487" s="217" t="s">
        <v>79</v>
      </c>
    </row>
    <row r="488" spans="2:9" ht="21" customHeight="1" x14ac:dyDescent="0.3">
      <c r="B488" s="13" t="s">
        <v>276</v>
      </c>
      <c r="C488" s="13" t="s">
        <v>235</v>
      </c>
      <c r="D488" s="19" t="s">
        <v>243</v>
      </c>
      <c r="E488" s="13" t="s">
        <v>81</v>
      </c>
      <c r="F488" s="7">
        <v>45035</v>
      </c>
      <c r="H488" s="2">
        <v>0.5</v>
      </c>
      <c r="I488" s="217" t="s">
        <v>81</v>
      </c>
    </row>
    <row r="489" spans="2:9" ht="21" customHeight="1" x14ac:dyDescent="0.3">
      <c r="B489" s="13" t="s">
        <v>229</v>
      </c>
      <c r="C489" s="13" t="s">
        <v>232</v>
      </c>
      <c r="D489" s="19" t="s">
        <v>244</v>
      </c>
      <c r="E489" s="13" t="s">
        <v>330</v>
      </c>
      <c r="F489" s="7">
        <v>45076</v>
      </c>
      <c r="H489" s="2">
        <v>1</v>
      </c>
      <c r="I489" s="217" t="s">
        <v>330</v>
      </c>
    </row>
    <row r="490" spans="2:9" ht="21" customHeight="1" x14ac:dyDescent="0.3">
      <c r="B490" s="13" t="s">
        <v>267</v>
      </c>
      <c r="C490" s="13" t="s">
        <v>232</v>
      </c>
      <c r="D490" s="19" t="s">
        <v>241</v>
      </c>
      <c r="E490" s="13" t="s">
        <v>330</v>
      </c>
      <c r="F490" s="7">
        <v>45061</v>
      </c>
      <c r="H490" s="2">
        <v>1</v>
      </c>
      <c r="I490" s="217" t="s">
        <v>330</v>
      </c>
    </row>
    <row r="491" spans="2:9" ht="21" customHeight="1" x14ac:dyDescent="0.3">
      <c r="B491" s="13" t="s">
        <v>277</v>
      </c>
      <c r="C491" s="13" t="s">
        <v>232</v>
      </c>
      <c r="D491" s="19" t="s">
        <v>246</v>
      </c>
      <c r="E491" s="13" t="s">
        <v>330</v>
      </c>
      <c r="F491" s="7">
        <v>45057</v>
      </c>
      <c r="H491" s="2">
        <v>1</v>
      </c>
      <c r="I491" s="217" t="s">
        <v>330</v>
      </c>
    </row>
    <row r="492" spans="2:9" ht="21" customHeight="1" x14ac:dyDescent="0.3">
      <c r="B492" s="13" t="s">
        <v>277</v>
      </c>
      <c r="C492" s="13" t="s">
        <v>232</v>
      </c>
      <c r="D492" s="19" t="s">
        <v>246</v>
      </c>
      <c r="E492" s="13" t="s">
        <v>330</v>
      </c>
      <c r="F492" s="7">
        <v>45072</v>
      </c>
      <c r="H492" s="2">
        <v>1</v>
      </c>
      <c r="I492" s="217" t="s">
        <v>330</v>
      </c>
    </row>
    <row r="493" spans="2:9" ht="21" customHeight="1" x14ac:dyDescent="0.3">
      <c r="B493" s="13" t="s">
        <v>309</v>
      </c>
      <c r="C493" s="13" t="s">
        <v>232</v>
      </c>
      <c r="D493" s="19" t="s">
        <v>244</v>
      </c>
      <c r="E493" s="13" t="s">
        <v>330</v>
      </c>
      <c r="F493" s="7">
        <v>45050</v>
      </c>
      <c r="H493" s="2">
        <v>1</v>
      </c>
      <c r="I493" s="217" t="s">
        <v>330</v>
      </c>
    </row>
    <row r="494" spans="2:9" ht="21" customHeight="1" x14ac:dyDescent="0.3">
      <c r="B494" s="13" t="s">
        <v>309</v>
      </c>
      <c r="C494" s="13" t="s">
        <v>232</v>
      </c>
      <c r="D494" s="19" t="s">
        <v>244</v>
      </c>
      <c r="E494" s="13" t="s">
        <v>330</v>
      </c>
      <c r="F494" s="7">
        <v>45071</v>
      </c>
      <c r="H494" s="2">
        <v>1</v>
      </c>
      <c r="I494" s="217" t="s">
        <v>330</v>
      </c>
    </row>
    <row r="495" spans="2:9" ht="21" customHeight="1" x14ac:dyDescent="0.3">
      <c r="B495" s="13" t="s">
        <v>325</v>
      </c>
      <c r="C495" s="13" t="s">
        <v>232</v>
      </c>
      <c r="D495" s="19" t="s">
        <v>244</v>
      </c>
      <c r="E495" s="13" t="s">
        <v>330</v>
      </c>
      <c r="F495" s="7">
        <v>45050</v>
      </c>
      <c r="H495" s="2">
        <v>1</v>
      </c>
      <c r="I495" s="217" t="s">
        <v>330</v>
      </c>
    </row>
    <row r="496" spans="2:9" ht="21" customHeight="1" x14ac:dyDescent="0.3">
      <c r="B496" s="13" t="s">
        <v>228</v>
      </c>
      <c r="C496" s="13" t="s">
        <v>233</v>
      </c>
      <c r="D496" s="19" t="s">
        <v>246</v>
      </c>
      <c r="E496" s="13" t="s">
        <v>330</v>
      </c>
      <c r="F496" s="7">
        <v>45054</v>
      </c>
      <c r="H496" s="2">
        <v>1</v>
      </c>
      <c r="I496" s="217" t="s">
        <v>330</v>
      </c>
    </row>
    <row r="497" spans="2:9" ht="21" customHeight="1" x14ac:dyDescent="0.3">
      <c r="B497" s="13" t="s">
        <v>228</v>
      </c>
      <c r="C497" s="13" t="s">
        <v>233</v>
      </c>
      <c r="D497" s="19" t="s">
        <v>246</v>
      </c>
      <c r="E497" s="13" t="s">
        <v>330</v>
      </c>
      <c r="F497" s="7">
        <v>45055</v>
      </c>
      <c r="H497" s="2">
        <v>1</v>
      </c>
      <c r="I497" s="217" t="s">
        <v>330</v>
      </c>
    </row>
    <row r="498" spans="2:9" ht="21" customHeight="1" x14ac:dyDescent="0.3">
      <c r="B498" s="13" t="s">
        <v>228</v>
      </c>
      <c r="C498" s="13" t="s">
        <v>233</v>
      </c>
      <c r="D498" s="19" t="s">
        <v>246</v>
      </c>
      <c r="E498" s="13" t="s">
        <v>330</v>
      </c>
      <c r="F498" s="7">
        <v>45056</v>
      </c>
      <c r="H498" s="2">
        <v>1</v>
      </c>
      <c r="I498" s="217" t="s">
        <v>330</v>
      </c>
    </row>
    <row r="499" spans="2:9" ht="21" customHeight="1" x14ac:dyDescent="0.3">
      <c r="B499" s="13" t="s">
        <v>289</v>
      </c>
      <c r="C499" s="13" t="s">
        <v>233</v>
      </c>
      <c r="D499" s="19" t="s">
        <v>246</v>
      </c>
      <c r="E499" s="13" t="s">
        <v>330</v>
      </c>
      <c r="F499" s="7">
        <v>45068</v>
      </c>
      <c r="H499" s="2">
        <v>1</v>
      </c>
      <c r="I499" s="217" t="s">
        <v>330</v>
      </c>
    </row>
    <row r="500" spans="2:9" ht="21" customHeight="1" x14ac:dyDescent="0.3">
      <c r="B500" s="13" t="s">
        <v>317</v>
      </c>
      <c r="C500" s="13" t="s">
        <v>233</v>
      </c>
      <c r="D500" s="19" t="s">
        <v>246</v>
      </c>
      <c r="E500" s="13" t="s">
        <v>330</v>
      </c>
      <c r="F500" s="7">
        <v>45065</v>
      </c>
      <c r="H500" s="2">
        <v>1</v>
      </c>
      <c r="I500" s="217" t="s">
        <v>330</v>
      </c>
    </row>
    <row r="501" spans="2:9" ht="21" customHeight="1" x14ac:dyDescent="0.3">
      <c r="B501" s="13" t="s">
        <v>231</v>
      </c>
      <c r="C501" s="13" t="s">
        <v>235</v>
      </c>
      <c r="D501" s="19" t="s">
        <v>246</v>
      </c>
      <c r="E501" s="13" t="s">
        <v>330</v>
      </c>
      <c r="F501" s="7">
        <v>45061</v>
      </c>
      <c r="H501" s="2">
        <v>1</v>
      </c>
      <c r="I501" s="217" t="s">
        <v>330</v>
      </c>
    </row>
    <row r="502" spans="2:9" ht="21" customHeight="1" x14ac:dyDescent="0.3">
      <c r="B502" s="13" t="s">
        <v>276</v>
      </c>
      <c r="C502" s="13" t="s">
        <v>235</v>
      </c>
      <c r="D502" s="19" t="s">
        <v>243</v>
      </c>
      <c r="E502" s="13" t="s">
        <v>331</v>
      </c>
      <c r="F502" s="7">
        <v>45049</v>
      </c>
      <c r="H502" s="2">
        <v>0.5</v>
      </c>
      <c r="I502" s="217" t="s">
        <v>331</v>
      </c>
    </row>
    <row r="503" spans="2:9" ht="21" customHeight="1" x14ac:dyDescent="0.3">
      <c r="B503" s="13" t="s">
        <v>276</v>
      </c>
      <c r="C503" s="13" t="s">
        <v>235</v>
      </c>
      <c r="D503" s="19" t="s">
        <v>243</v>
      </c>
      <c r="E503" s="13" t="s">
        <v>330</v>
      </c>
      <c r="F503" s="7">
        <v>45062</v>
      </c>
      <c r="H503" s="2">
        <v>1</v>
      </c>
      <c r="I503" s="217" t="s">
        <v>330</v>
      </c>
    </row>
    <row r="504" spans="2:9" ht="21" customHeight="1" x14ac:dyDescent="0.3">
      <c r="B504" s="13" t="s">
        <v>332</v>
      </c>
      <c r="C504" s="13" t="s">
        <v>235</v>
      </c>
      <c r="D504" s="19" t="s">
        <v>333</v>
      </c>
      <c r="E504" s="13" t="s">
        <v>330</v>
      </c>
      <c r="F504" s="7">
        <v>45065</v>
      </c>
      <c r="H504" s="2">
        <v>1</v>
      </c>
      <c r="I504" s="217" t="s">
        <v>330</v>
      </c>
    </row>
    <row r="505" spans="2:9" ht="21" customHeight="1" x14ac:dyDescent="0.3">
      <c r="B505" s="13" t="s">
        <v>222</v>
      </c>
      <c r="C505" s="13" t="s">
        <v>235</v>
      </c>
      <c r="D505" s="19" t="s">
        <v>334</v>
      </c>
      <c r="E505" s="13" t="s">
        <v>330</v>
      </c>
      <c r="F505" s="7">
        <v>45049</v>
      </c>
      <c r="H505" s="2">
        <v>1</v>
      </c>
      <c r="I505" s="217" t="s">
        <v>330</v>
      </c>
    </row>
    <row r="506" spans="2:9" ht="21" customHeight="1" x14ac:dyDescent="0.3">
      <c r="B506" s="13" t="s">
        <v>222</v>
      </c>
      <c r="C506" s="13" t="s">
        <v>235</v>
      </c>
      <c r="D506" s="19" t="s">
        <v>243</v>
      </c>
      <c r="E506" s="13" t="s">
        <v>331</v>
      </c>
      <c r="F506" s="7">
        <v>45065</v>
      </c>
      <c r="H506" s="2">
        <v>0.5</v>
      </c>
      <c r="I506" s="217" t="s">
        <v>331</v>
      </c>
    </row>
    <row r="507" spans="2:9" ht="21" customHeight="1" x14ac:dyDescent="0.3">
      <c r="B507" s="13" t="s">
        <v>222</v>
      </c>
      <c r="C507" s="13" t="s">
        <v>235</v>
      </c>
      <c r="D507" s="19" t="s">
        <v>243</v>
      </c>
      <c r="E507" s="13" t="s">
        <v>330</v>
      </c>
      <c r="F507" s="7">
        <v>45069</v>
      </c>
      <c r="H507" s="2">
        <v>1</v>
      </c>
      <c r="I507" s="217" t="s">
        <v>330</v>
      </c>
    </row>
    <row r="508" spans="2:9" ht="21" customHeight="1" x14ac:dyDescent="0.3">
      <c r="B508" s="13" t="s">
        <v>335</v>
      </c>
      <c r="C508" s="13" t="s">
        <v>232</v>
      </c>
      <c r="D508" s="19" t="s">
        <v>244</v>
      </c>
      <c r="E508" s="13" t="s">
        <v>281</v>
      </c>
      <c r="F508" s="7">
        <v>45078</v>
      </c>
      <c r="H508" s="2">
        <v>0.5</v>
      </c>
      <c r="I508" s="217" t="s">
        <v>281</v>
      </c>
    </row>
    <row r="509" spans="2:9" ht="21" customHeight="1" x14ac:dyDescent="0.3">
      <c r="B509" s="13" t="s">
        <v>335</v>
      </c>
      <c r="C509" s="13" t="s">
        <v>232</v>
      </c>
      <c r="D509" s="19" t="s">
        <v>244</v>
      </c>
      <c r="E509" s="13" t="s">
        <v>281</v>
      </c>
      <c r="F509" s="7">
        <v>45099</v>
      </c>
      <c r="H509" s="2">
        <v>0.5</v>
      </c>
      <c r="I509" s="217" t="s">
        <v>281</v>
      </c>
    </row>
    <row r="510" spans="2:9" ht="21" customHeight="1" x14ac:dyDescent="0.3">
      <c r="B510" s="13" t="s">
        <v>325</v>
      </c>
      <c r="C510" s="13" t="s">
        <v>232</v>
      </c>
      <c r="D510" s="19" t="s">
        <v>244</v>
      </c>
      <c r="E510" s="13" t="s">
        <v>258</v>
      </c>
      <c r="F510" s="7">
        <v>45093</v>
      </c>
      <c r="H510" s="2">
        <v>1</v>
      </c>
      <c r="I510" s="217" t="s">
        <v>258</v>
      </c>
    </row>
    <row r="511" spans="2:9" ht="21" customHeight="1" x14ac:dyDescent="0.3">
      <c r="B511" s="13" t="s">
        <v>325</v>
      </c>
      <c r="C511" s="13" t="s">
        <v>232</v>
      </c>
      <c r="D511" s="19" t="s">
        <v>244</v>
      </c>
      <c r="E511" s="13" t="s">
        <v>258</v>
      </c>
      <c r="F511" s="7">
        <v>45097</v>
      </c>
      <c r="H511" s="2">
        <v>1</v>
      </c>
      <c r="I511" s="217" t="s">
        <v>258</v>
      </c>
    </row>
    <row r="512" spans="2:9" ht="21" customHeight="1" x14ac:dyDescent="0.3">
      <c r="B512" s="13" t="s">
        <v>325</v>
      </c>
      <c r="C512" s="13" t="s">
        <v>232</v>
      </c>
      <c r="D512" s="19" t="s">
        <v>244</v>
      </c>
      <c r="E512" s="13" t="s">
        <v>258</v>
      </c>
      <c r="F512" s="7">
        <v>45100</v>
      </c>
      <c r="H512" s="2">
        <v>1</v>
      </c>
      <c r="I512" s="217" t="s">
        <v>258</v>
      </c>
    </row>
    <row r="513" spans="2:9" ht="21" customHeight="1" x14ac:dyDescent="0.3">
      <c r="B513" s="13" t="s">
        <v>325</v>
      </c>
      <c r="C513" s="13" t="s">
        <v>232</v>
      </c>
      <c r="D513" s="19" t="s">
        <v>244</v>
      </c>
      <c r="E513" s="13" t="s">
        <v>258</v>
      </c>
      <c r="F513" s="7">
        <v>45105</v>
      </c>
      <c r="H513" s="2">
        <v>1</v>
      </c>
      <c r="I513" s="217" t="s">
        <v>258</v>
      </c>
    </row>
    <row r="514" spans="2:9" ht="21" customHeight="1" x14ac:dyDescent="0.3">
      <c r="B514" s="13" t="s">
        <v>219</v>
      </c>
      <c r="C514" s="13" t="s">
        <v>233</v>
      </c>
      <c r="D514" s="19" t="s">
        <v>241</v>
      </c>
      <c r="E514" s="13" t="s">
        <v>258</v>
      </c>
      <c r="F514" s="7">
        <v>45103</v>
      </c>
      <c r="H514" s="2">
        <v>1</v>
      </c>
      <c r="I514" s="217" t="s">
        <v>258</v>
      </c>
    </row>
    <row r="515" spans="2:9" ht="21" customHeight="1" x14ac:dyDescent="0.3">
      <c r="B515" s="13" t="s">
        <v>228</v>
      </c>
      <c r="C515" s="13" t="s">
        <v>233</v>
      </c>
      <c r="D515" s="19" t="s">
        <v>246</v>
      </c>
      <c r="E515" s="13" t="s">
        <v>258</v>
      </c>
      <c r="F515" s="7">
        <v>45097</v>
      </c>
      <c r="H515" s="2">
        <v>1</v>
      </c>
      <c r="I515" s="217" t="s">
        <v>258</v>
      </c>
    </row>
    <row r="516" spans="2:9" ht="21" customHeight="1" x14ac:dyDescent="0.3">
      <c r="B516" s="13" t="s">
        <v>228</v>
      </c>
      <c r="C516" s="13" t="s">
        <v>233</v>
      </c>
      <c r="D516" s="19" t="s">
        <v>246</v>
      </c>
      <c r="E516" s="13" t="s">
        <v>281</v>
      </c>
      <c r="F516" s="7">
        <v>45106</v>
      </c>
      <c r="H516" s="2">
        <v>0.5</v>
      </c>
      <c r="I516" s="217" t="s">
        <v>281</v>
      </c>
    </row>
    <row r="517" spans="2:9" ht="21" customHeight="1" x14ac:dyDescent="0.3">
      <c r="B517" s="13" t="s">
        <v>317</v>
      </c>
      <c r="C517" s="13" t="s">
        <v>233</v>
      </c>
      <c r="D517" s="19" t="s">
        <v>246</v>
      </c>
      <c r="E517" s="13" t="s">
        <v>258</v>
      </c>
      <c r="F517" s="7">
        <v>45105</v>
      </c>
      <c r="H517" s="2">
        <v>1</v>
      </c>
      <c r="I517" s="217" t="s">
        <v>258</v>
      </c>
    </row>
    <row r="518" spans="2:9" ht="21" customHeight="1" x14ac:dyDescent="0.3">
      <c r="B518" s="13" t="s">
        <v>276</v>
      </c>
      <c r="C518" s="13" t="s">
        <v>235</v>
      </c>
      <c r="D518" s="19" t="s">
        <v>243</v>
      </c>
      <c r="E518" s="13" t="s">
        <v>258</v>
      </c>
      <c r="F518" s="7">
        <v>45082</v>
      </c>
      <c r="H518" s="2">
        <v>1</v>
      </c>
      <c r="I518" s="217" t="s">
        <v>258</v>
      </c>
    </row>
    <row r="519" spans="2:9" ht="21" customHeight="1" x14ac:dyDescent="0.3">
      <c r="B519" s="13" t="s">
        <v>276</v>
      </c>
      <c r="C519" s="13" t="s">
        <v>235</v>
      </c>
      <c r="D519" s="19" t="s">
        <v>243</v>
      </c>
      <c r="E519" s="13" t="s">
        <v>281</v>
      </c>
      <c r="F519" s="7">
        <v>45097</v>
      </c>
      <c r="H519" s="2">
        <v>0.5</v>
      </c>
      <c r="I519" s="217" t="s">
        <v>281</v>
      </c>
    </row>
    <row r="520" spans="2:9" ht="21" customHeight="1" x14ac:dyDescent="0.3">
      <c r="B520" s="13" t="s">
        <v>276</v>
      </c>
      <c r="C520" s="13" t="s">
        <v>235</v>
      </c>
      <c r="D520" s="19" t="s">
        <v>243</v>
      </c>
      <c r="E520" s="13" t="s">
        <v>281</v>
      </c>
      <c r="F520" s="7">
        <v>45098</v>
      </c>
      <c r="H520" s="2">
        <v>0.5</v>
      </c>
      <c r="I520" s="217" t="s">
        <v>281</v>
      </c>
    </row>
    <row r="521" spans="2:9" ht="21" customHeight="1" x14ac:dyDescent="0.3">
      <c r="B521" s="13" t="s">
        <v>276</v>
      </c>
      <c r="C521" s="13" t="s">
        <v>235</v>
      </c>
      <c r="D521" s="19" t="s">
        <v>243</v>
      </c>
      <c r="E521" s="13" t="s">
        <v>281</v>
      </c>
      <c r="F521" s="7">
        <v>45104</v>
      </c>
      <c r="H521" s="2">
        <v>0.5</v>
      </c>
      <c r="I521" s="217" t="s">
        <v>281</v>
      </c>
    </row>
    <row r="522" spans="2:9" ht="21" customHeight="1" x14ac:dyDescent="0.3">
      <c r="B522" s="13" t="s">
        <v>336</v>
      </c>
      <c r="C522" s="13" t="s">
        <v>235</v>
      </c>
      <c r="D522" s="13" t="s">
        <v>246</v>
      </c>
      <c r="E522" s="13" t="s">
        <v>79</v>
      </c>
      <c r="F522" s="7">
        <v>45098</v>
      </c>
      <c r="H522" s="2">
        <v>1</v>
      </c>
      <c r="I522" s="217" t="s">
        <v>79</v>
      </c>
    </row>
    <row r="523" spans="2:9" ht="21" customHeight="1" x14ac:dyDescent="0.3">
      <c r="B523" s="13" t="s">
        <v>222</v>
      </c>
      <c r="C523" s="13" t="s">
        <v>235</v>
      </c>
      <c r="D523" s="13" t="s">
        <v>243</v>
      </c>
      <c r="E523" s="13" t="s">
        <v>79</v>
      </c>
      <c r="F523" s="7">
        <v>45103</v>
      </c>
      <c r="H523" s="2">
        <v>1</v>
      </c>
      <c r="I523" s="217" t="s">
        <v>79</v>
      </c>
    </row>
    <row r="524" spans="2:9" ht="21" customHeight="1" x14ac:dyDescent="0.3">
      <c r="B524" s="13" t="s">
        <v>229</v>
      </c>
      <c r="C524" s="13" t="s">
        <v>232</v>
      </c>
      <c r="D524" s="13" t="s">
        <v>244</v>
      </c>
      <c r="E524" s="13" t="s">
        <v>79</v>
      </c>
      <c r="F524" s="7">
        <v>45110</v>
      </c>
      <c r="H524" s="2">
        <v>1</v>
      </c>
      <c r="I524" s="217" t="s">
        <v>79</v>
      </c>
    </row>
    <row r="525" spans="2:9" ht="21" customHeight="1" x14ac:dyDescent="0.3">
      <c r="B525" s="13" t="s">
        <v>267</v>
      </c>
      <c r="C525" s="13" t="s">
        <v>232</v>
      </c>
      <c r="D525" s="13" t="s">
        <v>241</v>
      </c>
      <c r="E525" s="13" t="s">
        <v>79</v>
      </c>
      <c r="F525" s="7">
        <v>45125</v>
      </c>
      <c r="H525" s="2">
        <v>1</v>
      </c>
      <c r="I525" s="217" t="s">
        <v>79</v>
      </c>
    </row>
    <row r="526" spans="2:9" ht="21" customHeight="1" x14ac:dyDescent="0.3">
      <c r="B526" s="13" t="s">
        <v>267</v>
      </c>
      <c r="C526" s="13" t="s">
        <v>232</v>
      </c>
      <c r="D526" s="13" t="s">
        <v>241</v>
      </c>
      <c r="E526" s="13" t="s">
        <v>79</v>
      </c>
      <c r="F526" s="7">
        <v>45138</v>
      </c>
      <c r="H526" s="2">
        <v>1</v>
      </c>
      <c r="I526" s="217" t="s">
        <v>340</v>
      </c>
    </row>
    <row r="527" spans="2:9" ht="21" customHeight="1" x14ac:dyDescent="0.3">
      <c r="B527" s="13" t="s">
        <v>291</v>
      </c>
      <c r="C527" s="13" t="s">
        <v>232</v>
      </c>
      <c r="D527" s="13" t="s">
        <v>241</v>
      </c>
      <c r="E527" s="13" t="s">
        <v>79</v>
      </c>
      <c r="F527" s="7">
        <v>45138</v>
      </c>
      <c r="H527" s="2">
        <v>1</v>
      </c>
      <c r="I527" s="217" t="s">
        <v>340</v>
      </c>
    </row>
    <row r="528" spans="2:9" ht="21" customHeight="1" x14ac:dyDescent="0.3">
      <c r="B528" s="13" t="s">
        <v>335</v>
      </c>
      <c r="C528" s="13" t="s">
        <v>232</v>
      </c>
      <c r="D528" s="13" t="s">
        <v>244</v>
      </c>
      <c r="E528" s="13" t="s">
        <v>79</v>
      </c>
      <c r="F528" s="7">
        <v>45117</v>
      </c>
      <c r="H528" s="2">
        <v>1</v>
      </c>
      <c r="I528" s="217" t="s">
        <v>79</v>
      </c>
    </row>
    <row r="529" spans="2:9" ht="21" customHeight="1" x14ac:dyDescent="0.3">
      <c r="B529" s="13" t="s">
        <v>335</v>
      </c>
      <c r="C529" s="13" t="s">
        <v>232</v>
      </c>
      <c r="D529" s="13" t="s">
        <v>244</v>
      </c>
      <c r="E529" s="13" t="s">
        <v>79</v>
      </c>
      <c r="F529" s="7">
        <v>45118</v>
      </c>
      <c r="H529" s="2">
        <v>1</v>
      </c>
      <c r="I529" s="217" t="s">
        <v>79</v>
      </c>
    </row>
    <row r="530" spans="2:9" ht="21" customHeight="1" x14ac:dyDescent="0.3">
      <c r="B530" s="13" t="s">
        <v>337</v>
      </c>
      <c r="C530" s="13" t="s">
        <v>232</v>
      </c>
      <c r="D530" s="13" t="s">
        <v>244</v>
      </c>
      <c r="E530" s="13" t="s">
        <v>79</v>
      </c>
      <c r="F530" s="7">
        <v>45138</v>
      </c>
      <c r="H530" s="2">
        <v>1</v>
      </c>
      <c r="I530" s="217" t="s">
        <v>340</v>
      </c>
    </row>
    <row r="531" spans="2:9" ht="21" customHeight="1" x14ac:dyDescent="0.3">
      <c r="B531" s="13" t="s">
        <v>219</v>
      </c>
      <c r="C531" s="13" t="s">
        <v>233</v>
      </c>
      <c r="D531" s="13" t="s">
        <v>241</v>
      </c>
      <c r="E531" s="13" t="s">
        <v>339</v>
      </c>
      <c r="F531" s="7">
        <v>45124</v>
      </c>
      <c r="H531" s="2">
        <v>0.5</v>
      </c>
      <c r="I531" s="217" t="s">
        <v>81</v>
      </c>
    </row>
    <row r="532" spans="2:9" ht="21" customHeight="1" x14ac:dyDescent="0.3">
      <c r="B532" s="13" t="s">
        <v>219</v>
      </c>
      <c r="C532" s="13" t="s">
        <v>233</v>
      </c>
      <c r="D532" s="13" t="s">
        <v>241</v>
      </c>
      <c r="E532" s="13" t="s">
        <v>79</v>
      </c>
      <c r="F532" s="7">
        <v>45128</v>
      </c>
      <c r="H532" s="2">
        <v>1</v>
      </c>
      <c r="I532" s="217" t="s">
        <v>79</v>
      </c>
    </row>
    <row r="533" spans="2:9" ht="21" customHeight="1" x14ac:dyDescent="0.3">
      <c r="B533" s="13" t="s">
        <v>219</v>
      </c>
      <c r="C533" s="13" t="s">
        <v>233</v>
      </c>
      <c r="D533" s="13" t="s">
        <v>241</v>
      </c>
      <c r="E533" s="13" t="s">
        <v>339</v>
      </c>
      <c r="F533" s="7">
        <v>45131</v>
      </c>
      <c r="H533" s="2">
        <v>0.5</v>
      </c>
      <c r="I533" s="217" t="s">
        <v>81</v>
      </c>
    </row>
    <row r="534" spans="2:9" ht="21" customHeight="1" x14ac:dyDescent="0.3">
      <c r="B534" s="13" t="s">
        <v>228</v>
      </c>
      <c r="C534" s="13" t="s">
        <v>233</v>
      </c>
      <c r="D534" s="13" t="s">
        <v>246</v>
      </c>
      <c r="E534" s="13" t="s">
        <v>339</v>
      </c>
      <c r="F534" s="7">
        <v>45114</v>
      </c>
      <c r="H534" s="2">
        <v>0.5</v>
      </c>
      <c r="I534" s="217" t="s">
        <v>81</v>
      </c>
    </row>
    <row r="535" spans="2:9" ht="21" customHeight="1" x14ac:dyDescent="0.3">
      <c r="B535" s="13" t="s">
        <v>228</v>
      </c>
      <c r="C535" s="13" t="s">
        <v>233</v>
      </c>
      <c r="D535" s="13" t="s">
        <v>246</v>
      </c>
      <c r="E535" s="13" t="s">
        <v>79</v>
      </c>
      <c r="F535" s="7">
        <v>45138</v>
      </c>
      <c r="H535" s="2">
        <v>1</v>
      </c>
      <c r="I535" s="217" t="s">
        <v>340</v>
      </c>
    </row>
    <row r="536" spans="2:9" ht="21" customHeight="1" x14ac:dyDescent="0.3">
      <c r="B536" s="13" t="s">
        <v>289</v>
      </c>
      <c r="C536" s="13" t="s">
        <v>233</v>
      </c>
      <c r="D536" s="13" t="s">
        <v>246</v>
      </c>
      <c r="E536" s="13" t="s">
        <v>79</v>
      </c>
      <c r="F536" s="7">
        <v>45114</v>
      </c>
      <c r="H536" s="2">
        <v>1</v>
      </c>
      <c r="I536" s="217" t="s">
        <v>79</v>
      </c>
    </row>
    <row r="537" spans="2:9" ht="21" customHeight="1" x14ac:dyDescent="0.3">
      <c r="B537" s="13" t="s">
        <v>317</v>
      </c>
      <c r="C537" s="13" t="s">
        <v>233</v>
      </c>
      <c r="D537" s="13" t="s">
        <v>246</v>
      </c>
      <c r="E537" s="13" t="s">
        <v>79</v>
      </c>
      <c r="F537" s="7">
        <v>45128</v>
      </c>
      <c r="H537" s="2">
        <v>1</v>
      </c>
      <c r="I537" s="217" t="s">
        <v>79</v>
      </c>
    </row>
    <row r="538" spans="2:9" ht="21" customHeight="1" x14ac:dyDescent="0.3">
      <c r="B538" s="13" t="s">
        <v>317</v>
      </c>
      <c r="C538" s="13" t="s">
        <v>233</v>
      </c>
      <c r="D538" s="13" t="s">
        <v>246</v>
      </c>
      <c r="E538" s="13" t="s">
        <v>79</v>
      </c>
      <c r="F538" s="7">
        <v>45138</v>
      </c>
      <c r="H538" s="2">
        <v>1</v>
      </c>
      <c r="I538" s="217" t="s">
        <v>340</v>
      </c>
    </row>
    <row r="539" spans="2:9" ht="21" customHeight="1" x14ac:dyDescent="0.3">
      <c r="B539" s="13" t="s">
        <v>231</v>
      </c>
      <c r="C539" s="13" t="s">
        <v>235</v>
      </c>
      <c r="D539" s="13" t="s">
        <v>246</v>
      </c>
      <c r="E539" s="13" t="s">
        <v>79</v>
      </c>
      <c r="F539" s="7">
        <v>45114</v>
      </c>
      <c r="H539" s="2">
        <v>1</v>
      </c>
      <c r="I539" s="217" t="s">
        <v>79</v>
      </c>
    </row>
    <row r="540" spans="2:9" ht="21" customHeight="1" x14ac:dyDescent="0.3">
      <c r="B540" s="13" t="s">
        <v>231</v>
      </c>
      <c r="C540" s="13" t="s">
        <v>235</v>
      </c>
      <c r="D540" s="13" t="s">
        <v>246</v>
      </c>
      <c r="E540" s="13" t="s">
        <v>79</v>
      </c>
      <c r="F540" s="7">
        <v>45138</v>
      </c>
      <c r="H540" s="2">
        <v>1</v>
      </c>
      <c r="I540" s="217" t="s">
        <v>340</v>
      </c>
    </row>
    <row r="541" spans="2:9" ht="21" customHeight="1" x14ac:dyDescent="0.3">
      <c r="B541" s="13" t="s">
        <v>276</v>
      </c>
      <c r="C541" s="13" t="s">
        <v>235</v>
      </c>
      <c r="D541" s="13" t="s">
        <v>243</v>
      </c>
      <c r="E541" s="13" t="s">
        <v>79</v>
      </c>
      <c r="F541" s="7">
        <v>45111</v>
      </c>
      <c r="H541" s="2">
        <v>1</v>
      </c>
      <c r="I541" s="217" t="s">
        <v>79</v>
      </c>
    </row>
    <row r="542" spans="2:9" ht="21" customHeight="1" x14ac:dyDescent="0.3">
      <c r="B542" s="13" t="s">
        <v>276</v>
      </c>
      <c r="C542" s="13" t="s">
        <v>235</v>
      </c>
      <c r="D542" s="13" t="s">
        <v>243</v>
      </c>
      <c r="E542" s="13" t="s">
        <v>281</v>
      </c>
      <c r="F542" s="7">
        <v>45113</v>
      </c>
      <c r="H542" s="2">
        <v>0.5</v>
      </c>
      <c r="I542" s="217" t="s">
        <v>81</v>
      </c>
    </row>
    <row r="543" spans="2:9" ht="21" customHeight="1" x14ac:dyDescent="0.3">
      <c r="B543" s="13" t="s">
        <v>336</v>
      </c>
      <c r="C543" s="13" t="s">
        <v>235</v>
      </c>
      <c r="D543" s="13" t="s">
        <v>246</v>
      </c>
      <c r="E543" s="13" t="s">
        <v>258</v>
      </c>
      <c r="F543" s="7">
        <v>45138</v>
      </c>
      <c r="H543" s="2">
        <v>1</v>
      </c>
      <c r="I543" s="217" t="s">
        <v>340</v>
      </c>
    </row>
    <row r="544" spans="2:9" ht="21" customHeight="1" x14ac:dyDescent="0.3">
      <c r="B544" s="13" t="s">
        <v>222</v>
      </c>
      <c r="C544" s="13" t="s">
        <v>235</v>
      </c>
      <c r="D544" s="13" t="s">
        <v>243</v>
      </c>
      <c r="E544" s="13" t="s">
        <v>281</v>
      </c>
      <c r="F544" s="7">
        <v>45111</v>
      </c>
      <c r="H544" s="2">
        <v>0.5</v>
      </c>
      <c r="I544" s="217" t="s">
        <v>81</v>
      </c>
    </row>
    <row r="545" spans="2:9" ht="21" customHeight="1" x14ac:dyDescent="0.3">
      <c r="B545" s="13" t="s">
        <v>229</v>
      </c>
      <c r="C545" s="13" t="s">
        <v>232</v>
      </c>
      <c r="D545" s="13" t="s">
        <v>244</v>
      </c>
      <c r="E545" s="13" t="s">
        <v>79</v>
      </c>
      <c r="F545" s="7">
        <v>45140</v>
      </c>
      <c r="H545" s="2">
        <v>1</v>
      </c>
      <c r="I545" s="217" t="s">
        <v>264</v>
      </c>
    </row>
    <row r="546" spans="2:9" ht="21" customHeight="1" x14ac:dyDescent="0.3">
      <c r="B546" s="13" t="s">
        <v>229</v>
      </c>
      <c r="C546" s="13" t="s">
        <v>232</v>
      </c>
      <c r="D546" s="13" t="s">
        <v>244</v>
      </c>
      <c r="E546" s="13" t="s">
        <v>79</v>
      </c>
      <c r="F546" s="7">
        <v>45141</v>
      </c>
      <c r="H546" s="2">
        <v>1</v>
      </c>
      <c r="I546" s="217" t="s">
        <v>264</v>
      </c>
    </row>
    <row r="547" spans="2:9" ht="21" customHeight="1" x14ac:dyDescent="0.3">
      <c r="B547" s="13" t="s">
        <v>229</v>
      </c>
      <c r="C547" s="13" t="s">
        <v>232</v>
      </c>
      <c r="D547" s="13" t="s">
        <v>244</v>
      </c>
      <c r="E547" s="13" t="s">
        <v>79</v>
      </c>
      <c r="F547" s="7">
        <v>45142</v>
      </c>
      <c r="H547" s="2">
        <v>1</v>
      </c>
      <c r="I547" s="217" t="s">
        <v>264</v>
      </c>
    </row>
    <row r="548" spans="2:9" ht="21" customHeight="1" x14ac:dyDescent="0.3">
      <c r="B548" s="13" t="s">
        <v>267</v>
      </c>
      <c r="C548" s="13" t="s">
        <v>232</v>
      </c>
      <c r="D548" s="13" t="s">
        <v>241</v>
      </c>
      <c r="E548" s="13" t="s">
        <v>79</v>
      </c>
      <c r="F548" s="7">
        <v>45139</v>
      </c>
      <c r="H548" s="2">
        <v>1</v>
      </c>
      <c r="I548" s="217" t="s">
        <v>264</v>
      </c>
    </row>
    <row r="549" spans="2:9" ht="21" customHeight="1" x14ac:dyDescent="0.3">
      <c r="B549" s="13" t="s">
        <v>267</v>
      </c>
      <c r="C549" s="13" t="s">
        <v>232</v>
      </c>
      <c r="D549" s="13" t="s">
        <v>241</v>
      </c>
      <c r="E549" s="13" t="s">
        <v>79</v>
      </c>
      <c r="F549" s="7">
        <v>45159</v>
      </c>
      <c r="H549" s="2">
        <v>1</v>
      </c>
      <c r="I549" s="217" t="s">
        <v>79</v>
      </c>
    </row>
    <row r="550" spans="2:9" ht="21" customHeight="1" x14ac:dyDescent="0.3">
      <c r="B550" s="13" t="s">
        <v>291</v>
      </c>
      <c r="C550" s="13" t="s">
        <v>232</v>
      </c>
      <c r="D550" s="13" t="s">
        <v>241</v>
      </c>
      <c r="E550" s="13" t="s">
        <v>79</v>
      </c>
      <c r="F550" s="7">
        <v>45139</v>
      </c>
      <c r="H550" s="2">
        <v>1</v>
      </c>
      <c r="I550" s="217" t="s">
        <v>340</v>
      </c>
    </row>
    <row r="551" spans="2:9" ht="21" customHeight="1" x14ac:dyDescent="0.3">
      <c r="B551" s="13" t="s">
        <v>291</v>
      </c>
      <c r="C551" s="13" t="s">
        <v>232</v>
      </c>
      <c r="D551" s="13" t="s">
        <v>241</v>
      </c>
      <c r="E551" s="13" t="s">
        <v>79</v>
      </c>
      <c r="F551" s="7">
        <v>45140</v>
      </c>
      <c r="H551" s="2">
        <v>1</v>
      </c>
      <c r="I551" s="217" t="s">
        <v>340</v>
      </c>
    </row>
    <row r="552" spans="2:9" ht="21" customHeight="1" x14ac:dyDescent="0.3">
      <c r="B552" s="13" t="s">
        <v>291</v>
      </c>
      <c r="C552" s="13" t="s">
        <v>232</v>
      </c>
      <c r="D552" s="13" t="s">
        <v>241</v>
      </c>
      <c r="E552" s="13" t="s">
        <v>79</v>
      </c>
      <c r="F552" s="7">
        <v>45141</v>
      </c>
      <c r="H552" s="2">
        <v>1</v>
      </c>
      <c r="I552" s="217" t="s">
        <v>340</v>
      </c>
    </row>
    <row r="553" spans="2:9" ht="21" customHeight="1" x14ac:dyDescent="0.3">
      <c r="B553" s="13" t="s">
        <v>291</v>
      </c>
      <c r="C553" s="13" t="s">
        <v>232</v>
      </c>
      <c r="D553" s="13" t="s">
        <v>241</v>
      </c>
      <c r="E553" s="13" t="s">
        <v>79</v>
      </c>
      <c r="F553" s="7">
        <v>45142</v>
      </c>
      <c r="H553" s="2">
        <v>1</v>
      </c>
      <c r="I553" s="217" t="s">
        <v>340</v>
      </c>
    </row>
    <row r="554" spans="2:9" ht="21" customHeight="1" x14ac:dyDescent="0.3">
      <c r="B554" s="13" t="s">
        <v>291</v>
      </c>
      <c r="C554" s="13" t="s">
        <v>232</v>
      </c>
      <c r="D554" s="13" t="s">
        <v>241</v>
      </c>
      <c r="E554" s="13" t="s">
        <v>81</v>
      </c>
      <c r="F554" s="7">
        <v>45162</v>
      </c>
      <c r="H554" s="2">
        <v>0.5</v>
      </c>
      <c r="I554" s="217" t="s">
        <v>343</v>
      </c>
    </row>
    <row r="555" spans="2:9" ht="21" customHeight="1" x14ac:dyDescent="0.3">
      <c r="B555" s="13" t="s">
        <v>291</v>
      </c>
      <c r="C555" s="13" t="s">
        <v>232</v>
      </c>
      <c r="D555" s="13" t="s">
        <v>241</v>
      </c>
      <c r="E555" s="13" t="s">
        <v>79</v>
      </c>
      <c r="F555" s="7">
        <v>45163</v>
      </c>
      <c r="H555" s="2">
        <v>1</v>
      </c>
      <c r="I555" s="217" t="s">
        <v>343</v>
      </c>
    </row>
    <row r="556" spans="2:9" ht="21" customHeight="1" x14ac:dyDescent="0.3">
      <c r="B556" s="13" t="s">
        <v>291</v>
      </c>
      <c r="C556" s="13" t="s">
        <v>232</v>
      </c>
      <c r="D556" s="13" t="s">
        <v>241</v>
      </c>
      <c r="E556" s="13" t="s">
        <v>79</v>
      </c>
      <c r="F556" s="7">
        <v>45168</v>
      </c>
      <c r="H556" s="2">
        <v>1</v>
      </c>
      <c r="I556" s="217" t="s">
        <v>342</v>
      </c>
    </row>
    <row r="557" spans="2:9" ht="21" customHeight="1" x14ac:dyDescent="0.3">
      <c r="B557" s="13" t="s">
        <v>291</v>
      </c>
      <c r="C557" s="13" t="s">
        <v>232</v>
      </c>
      <c r="D557" s="13" t="s">
        <v>241</v>
      </c>
      <c r="E557" s="13" t="s">
        <v>79</v>
      </c>
      <c r="F557" s="7">
        <v>45169</v>
      </c>
      <c r="H557" s="2">
        <v>1</v>
      </c>
      <c r="I557" s="217" t="s">
        <v>342</v>
      </c>
    </row>
    <row r="558" spans="2:9" ht="21" customHeight="1" x14ac:dyDescent="0.3">
      <c r="B558" s="13" t="s">
        <v>335</v>
      </c>
      <c r="C558" s="13" t="s">
        <v>232</v>
      </c>
      <c r="D558" s="13" t="s">
        <v>244</v>
      </c>
      <c r="E558" s="13" t="s">
        <v>79</v>
      </c>
      <c r="F558" s="7">
        <v>45140</v>
      </c>
      <c r="H558" s="2">
        <v>1</v>
      </c>
      <c r="I558" s="217" t="s">
        <v>340</v>
      </c>
    </row>
    <row r="559" spans="2:9" ht="21" customHeight="1" x14ac:dyDescent="0.3">
      <c r="B559" s="13" t="s">
        <v>335</v>
      </c>
      <c r="C559" s="13" t="s">
        <v>232</v>
      </c>
      <c r="D559" s="13" t="s">
        <v>244</v>
      </c>
      <c r="E559" s="13" t="s">
        <v>79</v>
      </c>
      <c r="F559" s="7">
        <v>45141</v>
      </c>
      <c r="H559" s="2">
        <v>1</v>
      </c>
      <c r="I559" s="217" t="s">
        <v>340</v>
      </c>
    </row>
    <row r="560" spans="2:9" ht="21" customHeight="1" x14ac:dyDescent="0.3">
      <c r="B560" s="13" t="s">
        <v>335</v>
      </c>
      <c r="C560" s="13" t="s">
        <v>232</v>
      </c>
      <c r="D560" s="13" t="s">
        <v>244</v>
      </c>
      <c r="E560" s="13" t="s">
        <v>79</v>
      </c>
      <c r="F560" s="7">
        <v>45142</v>
      </c>
      <c r="H560" s="2">
        <v>1</v>
      </c>
      <c r="I560" s="217" t="s">
        <v>340</v>
      </c>
    </row>
    <row r="561" spans="2:9" ht="21" customHeight="1" x14ac:dyDescent="0.3">
      <c r="B561" s="13" t="s">
        <v>337</v>
      </c>
      <c r="C561" s="13" t="s">
        <v>232</v>
      </c>
      <c r="D561" s="13" t="s">
        <v>244</v>
      </c>
      <c r="E561" s="13" t="s">
        <v>79</v>
      </c>
      <c r="F561" s="7">
        <v>45139</v>
      </c>
      <c r="H561" s="2">
        <v>1</v>
      </c>
      <c r="I561" s="217" t="s">
        <v>340</v>
      </c>
    </row>
    <row r="562" spans="2:9" ht="21" customHeight="1" x14ac:dyDescent="0.3">
      <c r="B562" s="13" t="s">
        <v>219</v>
      </c>
      <c r="C562" s="13" t="s">
        <v>233</v>
      </c>
      <c r="D562" s="13" t="s">
        <v>241</v>
      </c>
      <c r="E562" s="13" t="s">
        <v>79</v>
      </c>
      <c r="F562" s="7">
        <v>45145</v>
      </c>
      <c r="H562" s="2">
        <v>1</v>
      </c>
      <c r="I562" s="217" t="s">
        <v>340</v>
      </c>
    </row>
    <row r="563" spans="2:9" ht="21" customHeight="1" x14ac:dyDescent="0.3">
      <c r="B563" s="13" t="s">
        <v>219</v>
      </c>
      <c r="C563" s="13" t="s">
        <v>233</v>
      </c>
      <c r="D563" s="13" t="s">
        <v>241</v>
      </c>
      <c r="E563" s="13" t="s">
        <v>79</v>
      </c>
      <c r="F563" s="7">
        <v>45146</v>
      </c>
      <c r="H563" s="2">
        <v>1</v>
      </c>
      <c r="I563" s="217" t="s">
        <v>340</v>
      </c>
    </row>
    <row r="564" spans="2:9" ht="21" customHeight="1" x14ac:dyDescent="0.3">
      <c r="B564" s="13" t="s">
        <v>219</v>
      </c>
      <c r="C564" s="13" t="s">
        <v>233</v>
      </c>
      <c r="D564" s="13" t="s">
        <v>241</v>
      </c>
      <c r="E564" s="13" t="s">
        <v>79</v>
      </c>
      <c r="F564" s="7">
        <v>45147</v>
      </c>
      <c r="H564" s="2">
        <v>1</v>
      </c>
      <c r="I564" s="217" t="s">
        <v>340</v>
      </c>
    </row>
    <row r="565" spans="2:9" ht="21" customHeight="1" x14ac:dyDescent="0.3">
      <c r="B565" s="13" t="s">
        <v>228</v>
      </c>
      <c r="C565" s="13" t="s">
        <v>233</v>
      </c>
      <c r="D565" s="13" t="s">
        <v>246</v>
      </c>
      <c r="E565" s="13" t="s">
        <v>79</v>
      </c>
      <c r="F565" s="7">
        <v>45139</v>
      </c>
      <c r="H565" s="2">
        <v>1</v>
      </c>
      <c r="I565" s="217" t="s">
        <v>340</v>
      </c>
    </row>
    <row r="566" spans="2:9" ht="21" customHeight="1" x14ac:dyDescent="0.3">
      <c r="B566" s="13" t="s">
        <v>228</v>
      </c>
      <c r="C566" s="13" t="s">
        <v>233</v>
      </c>
      <c r="D566" s="13" t="s">
        <v>246</v>
      </c>
      <c r="E566" s="13" t="s">
        <v>79</v>
      </c>
      <c r="F566" s="7">
        <v>45142</v>
      </c>
      <c r="H566" s="2">
        <v>1</v>
      </c>
      <c r="I566" s="217" t="s">
        <v>340</v>
      </c>
    </row>
    <row r="567" spans="2:9" ht="21" customHeight="1" x14ac:dyDescent="0.3">
      <c r="B567" s="13" t="s">
        <v>228</v>
      </c>
      <c r="C567" s="13" t="s">
        <v>233</v>
      </c>
      <c r="D567" s="13" t="s">
        <v>246</v>
      </c>
      <c r="E567" s="13" t="s">
        <v>79</v>
      </c>
      <c r="F567" s="7">
        <v>45159</v>
      </c>
      <c r="H567" s="2">
        <v>1</v>
      </c>
      <c r="I567" s="217" t="s">
        <v>340</v>
      </c>
    </row>
    <row r="568" spans="2:9" ht="21" customHeight="1" x14ac:dyDescent="0.3">
      <c r="B568" s="13" t="s">
        <v>289</v>
      </c>
      <c r="C568" s="13" t="s">
        <v>233</v>
      </c>
      <c r="D568" s="13" t="s">
        <v>246</v>
      </c>
      <c r="E568" s="13" t="s">
        <v>79</v>
      </c>
      <c r="F568" s="7">
        <v>45145</v>
      </c>
      <c r="H568" s="2">
        <v>1</v>
      </c>
      <c r="I568" s="217" t="s">
        <v>340</v>
      </c>
    </row>
    <row r="569" spans="2:9" ht="21" customHeight="1" x14ac:dyDescent="0.3">
      <c r="B569" s="13" t="s">
        <v>289</v>
      </c>
      <c r="C569" s="13" t="s">
        <v>233</v>
      </c>
      <c r="D569" s="13" t="s">
        <v>246</v>
      </c>
      <c r="E569" s="13" t="s">
        <v>79</v>
      </c>
      <c r="F569" s="7">
        <v>45146</v>
      </c>
      <c r="H569" s="2">
        <v>1</v>
      </c>
      <c r="I569" s="217" t="s">
        <v>340</v>
      </c>
    </row>
    <row r="570" spans="2:9" ht="21" customHeight="1" x14ac:dyDescent="0.3">
      <c r="B570" s="13" t="s">
        <v>289</v>
      </c>
      <c r="C570" s="13" t="s">
        <v>233</v>
      </c>
      <c r="D570" s="13" t="s">
        <v>246</v>
      </c>
      <c r="E570" s="13" t="s">
        <v>79</v>
      </c>
      <c r="F570" s="7">
        <v>45147</v>
      </c>
      <c r="H570" s="2">
        <v>1</v>
      </c>
      <c r="I570" s="217" t="s">
        <v>340</v>
      </c>
    </row>
    <row r="571" spans="2:9" ht="21" customHeight="1" x14ac:dyDescent="0.3">
      <c r="B571" s="13" t="s">
        <v>317</v>
      </c>
      <c r="C571" s="13" t="s">
        <v>233</v>
      </c>
      <c r="D571" s="13" t="s">
        <v>246</v>
      </c>
      <c r="E571" s="13" t="s">
        <v>79</v>
      </c>
      <c r="F571" s="7">
        <v>45139</v>
      </c>
      <c r="H571" s="2">
        <v>1</v>
      </c>
      <c r="I571" s="217" t="s">
        <v>340</v>
      </c>
    </row>
    <row r="572" spans="2:9" ht="21" customHeight="1" x14ac:dyDescent="0.3">
      <c r="B572" s="13" t="s">
        <v>317</v>
      </c>
      <c r="C572" s="13" t="s">
        <v>233</v>
      </c>
      <c r="D572" s="13" t="s">
        <v>246</v>
      </c>
      <c r="E572" s="13" t="s">
        <v>79</v>
      </c>
      <c r="F572" s="7">
        <v>45140</v>
      </c>
      <c r="H572" s="2">
        <v>1</v>
      </c>
      <c r="I572" s="217" t="s">
        <v>340</v>
      </c>
    </row>
    <row r="573" spans="2:9" ht="21" customHeight="1" x14ac:dyDescent="0.3">
      <c r="B573" s="13" t="s">
        <v>317</v>
      </c>
      <c r="C573" s="13" t="s">
        <v>233</v>
      </c>
      <c r="D573" s="13" t="s">
        <v>246</v>
      </c>
      <c r="E573" s="13" t="s">
        <v>79</v>
      </c>
      <c r="F573" s="7">
        <v>45163</v>
      </c>
      <c r="H573" s="2">
        <v>1</v>
      </c>
      <c r="I573" s="217" t="s">
        <v>79</v>
      </c>
    </row>
    <row r="574" spans="2:9" ht="21" customHeight="1" x14ac:dyDescent="0.3">
      <c r="B574" s="13" t="s">
        <v>231</v>
      </c>
      <c r="C574" s="13" t="s">
        <v>235</v>
      </c>
      <c r="D574" s="13" t="s">
        <v>246</v>
      </c>
      <c r="E574" s="13" t="s">
        <v>79</v>
      </c>
      <c r="F574" s="7">
        <v>45139</v>
      </c>
      <c r="H574" s="2">
        <v>1</v>
      </c>
      <c r="I574" s="217" t="s">
        <v>340</v>
      </c>
    </row>
    <row r="575" spans="2:9" ht="21" customHeight="1" x14ac:dyDescent="0.3">
      <c r="B575" s="13" t="s">
        <v>231</v>
      </c>
      <c r="C575" s="13" t="s">
        <v>235</v>
      </c>
      <c r="D575" s="13" t="s">
        <v>246</v>
      </c>
      <c r="E575" s="13" t="s">
        <v>79</v>
      </c>
      <c r="F575" s="7">
        <v>45149</v>
      </c>
      <c r="H575" s="2">
        <v>1</v>
      </c>
      <c r="I575" s="217" t="s">
        <v>340</v>
      </c>
    </row>
    <row r="576" spans="2:9" ht="21" customHeight="1" x14ac:dyDescent="0.3">
      <c r="B576" s="13" t="s">
        <v>231</v>
      </c>
      <c r="C576" s="13" t="s">
        <v>235</v>
      </c>
      <c r="D576" s="13" t="s">
        <v>246</v>
      </c>
      <c r="E576" s="13" t="s">
        <v>344</v>
      </c>
      <c r="F576" s="7">
        <v>45154</v>
      </c>
      <c r="H576" s="2">
        <v>0.5</v>
      </c>
      <c r="I576" s="217" t="s">
        <v>344</v>
      </c>
    </row>
    <row r="577" spans="2:9" ht="21" customHeight="1" x14ac:dyDescent="0.3">
      <c r="B577" s="13" t="s">
        <v>231</v>
      </c>
      <c r="C577" s="13" t="s">
        <v>235</v>
      </c>
      <c r="D577" s="13" t="s">
        <v>246</v>
      </c>
      <c r="E577" s="13" t="s">
        <v>344</v>
      </c>
      <c r="F577" s="7">
        <v>45163</v>
      </c>
      <c r="H577" s="2">
        <v>0.5</v>
      </c>
      <c r="I577" s="217" t="s">
        <v>344</v>
      </c>
    </row>
    <row r="578" spans="2:9" ht="21" customHeight="1" x14ac:dyDescent="0.3">
      <c r="B578" s="13" t="s">
        <v>276</v>
      </c>
      <c r="C578" s="13" t="s">
        <v>235</v>
      </c>
      <c r="D578" s="13" t="s">
        <v>243</v>
      </c>
      <c r="E578" s="13" t="s">
        <v>79</v>
      </c>
      <c r="F578" s="7">
        <v>45140</v>
      </c>
      <c r="H578" s="2">
        <v>1</v>
      </c>
      <c r="I578" s="217" t="s">
        <v>340</v>
      </c>
    </row>
    <row r="579" spans="2:9" ht="21" customHeight="1" x14ac:dyDescent="0.3">
      <c r="B579" s="13" t="s">
        <v>276</v>
      </c>
      <c r="C579" s="13" t="s">
        <v>235</v>
      </c>
      <c r="D579" s="13" t="s">
        <v>243</v>
      </c>
      <c r="E579" s="13" t="s">
        <v>79</v>
      </c>
      <c r="F579" s="7">
        <v>45141</v>
      </c>
      <c r="H579" s="2">
        <v>1</v>
      </c>
      <c r="I579" s="217" t="s">
        <v>340</v>
      </c>
    </row>
    <row r="580" spans="2:9" ht="21" customHeight="1" x14ac:dyDescent="0.3">
      <c r="B580" s="13" t="s">
        <v>276</v>
      </c>
      <c r="C580" s="13" t="s">
        <v>235</v>
      </c>
      <c r="D580" s="13" t="s">
        <v>243</v>
      </c>
      <c r="E580" s="13" t="s">
        <v>79</v>
      </c>
      <c r="F580" s="7">
        <v>45142</v>
      </c>
      <c r="H580" s="2">
        <v>1</v>
      </c>
      <c r="I580" s="217" t="s">
        <v>340</v>
      </c>
    </row>
    <row r="581" spans="2:9" ht="21" customHeight="1" x14ac:dyDescent="0.3">
      <c r="B581" s="13" t="s">
        <v>276</v>
      </c>
      <c r="C581" s="13" t="s">
        <v>235</v>
      </c>
      <c r="D581" s="13" t="s">
        <v>243</v>
      </c>
      <c r="E581" s="13" t="s">
        <v>79</v>
      </c>
      <c r="F581" s="7">
        <v>45166</v>
      </c>
      <c r="H581" s="2">
        <v>1</v>
      </c>
      <c r="I581" s="217" t="s">
        <v>79</v>
      </c>
    </row>
    <row r="582" spans="2:9" ht="21" customHeight="1" x14ac:dyDescent="0.3">
      <c r="B582" s="13" t="s">
        <v>276</v>
      </c>
      <c r="C582" s="13" t="s">
        <v>235</v>
      </c>
      <c r="D582" s="13" t="s">
        <v>243</v>
      </c>
      <c r="E582" s="13" t="s">
        <v>79</v>
      </c>
      <c r="F582" s="7">
        <v>45167</v>
      </c>
      <c r="H582" s="2">
        <v>1</v>
      </c>
      <c r="I582" s="217" t="s">
        <v>79</v>
      </c>
    </row>
    <row r="583" spans="2:9" ht="21" customHeight="1" x14ac:dyDescent="0.3">
      <c r="B583" s="13" t="s">
        <v>336</v>
      </c>
      <c r="C583" s="13" t="s">
        <v>235</v>
      </c>
      <c r="D583" s="13" t="s">
        <v>246</v>
      </c>
      <c r="E583" s="13" t="s">
        <v>79</v>
      </c>
      <c r="F583" s="7">
        <v>45139</v>
      </c>
      <c r="H583" s="2">
        <v>1</v>
      </c>
      <c r="I583" s="217" t="s">
        <v>340</v>
      </c>
    </row>
    <row r="584" spans="2:9" ht="21" customHeight="1" x14ac:dyDescent="0.3">
      <c r="B584" s="13" t="s">
        <v>336</v>
      </c>
      <c r="C584" s="13" t="s">
        <v>235</v>
      </c>
      <c r="D584" s="13" t="s">
        <v>246</v>
      </c>
      <c r="E584" s="13" t="s">
        <v>79</v>
      </c>
      <c r="F584" s="7">
        <v>45140</v>
      </c>
      <c r="H584" s="2">
        <v>1</v>
      </c>
      <c r="I584" s="217" t="s">
        <v>340</v>
      </c>
    </row>
    <row r="585" spans="2:9" ht="21" customHeight="1" x14ac:dyDescent="0.3">
      <c r="B585" s="13" t="s">
        <v>222</v>
      </c>
      <c r="C585" s="13" t="s">
        <v>235</v>
      </c>
      <c r="D585" s="13" t="s">
        <v>243</v>
      </c>
      <c r="E585" s="13" t="s">
        <v>79</v>
      </c>
      <c r="F585" s="7">
        <v>45147</v>
      </c>
      <c r="H585" s="2">
        <v>1</v>
      </c>
      <c r="I585" s="217" t="s">
        <v>79</v>
      </c>
    </row>
    <row r="586" spans="2:9" ht="21" customHeight="1" x14ac:dyDescent="0.3">
      <c r="B586" s="13" t="s">
        <v>229</v>
      </c>
      <c r="C586" s="13" t="s">
        <v>232</v>
      </c>
      <c r="D586" s="13" t="s">
        <v>244</v>
      </c>
      <c r="E586" s="13" t="s">
        <v>79</v>
      </c>
      <c r="F586" s="7">
        <v>45177</v>
      </c>
      <c r="H586" s="2">
        <v>1</v>
      </c>
      <c r="I586" s="217" t="s">
        <v>346</v>
      </c>
    </row>
    <row r="587" spans="2:9" ht="21" customHeight="1" x14ac:dyDescent="0.3">
      <c r="B587" s="13" t="s">
        <v>229</v>
      </c>
      <c r="C587" s="13" t="s">
        <v>232</v>
      </c>
      <c r="D587" s="13" t="s">
        <v>244</v>
      </c>
      <c r="E587" s="13" t="s">
        <v>79</v>
      </c>
      <c r="F587" s="7">
        <v>45180</v>
      </c>
      <c r="H587" s="2">
        <v>1</v>
      </c>
      <c r="I587" s="217" t="s">
        <v>346</v>
      </c>
    </row>
    <row r="588" spans="2:9" ht="21" customHeight="1" x14ac:dyDescent="0.3">
      <c r="B588" s="13" t="s">
        <v>229</v>
      </c>
      <c r="C588" s="13" t="s">
        <v>232</v>
      </c>
      <c r="D588" s="13" t="s">
        <v>244</v>
      </c>
      <c r="E588" s="13" t="s">
        <v>79</v>
      </c>
      <c r="F588" s="7">
        <v>45181</v>
      </c>
      <c r="H588" s="2">
        <v>1</v>
      </c>
      <c r="I588" s="217" t="s">
        <v>79</v>
      </c>
    </row>
    <row r="589" spans="2:9" ht="21" customHeight="1" x14ac:dyDescent="0.3">
      <c r="B589" s="13" t="s">
        <v>229</v>
      </c>
      <c r="C589" s="13" t="s">
        <v>232</v>
      </c>
      <c r="D589" s="13" t="s">
        <v>244</v>
      </c>
      <c r="E589" s="13" t="s">
        <v>79</v>
      </c>
      <c r="F589" s="7">
        <v>45182</v>
      </c>
      <c r="H589" s="2">
        <v>1</v>
      </c>
      <c r="I589" s="217" t="s">
        <v>79</v>
      </c>
    </row>
    <row r="590" spans="2:9" ht="21" customHeight="1" x14ac:dyDescent="0.3">
      <c r="B590" s="13" t="s">
        <v>229</v>
      </c>
      <c r="C590" s="13" t="s">
        <v>232</v>
      </c>
      <c r="D590" s="13" t="s">
        <v>244</v>
      </c>
      <c r="E590" s="13" t="s">
        <v>79</v>
      </c>
      <c r="F590" s="7">
        <v>45187</v>
      </c>
      <c r="H590" s="2">
        <v>1</v>
      </c>
      <c r="I590" s="217" t="s">
        <v>79</v>
      </c>
    </row>
    <row r="591" spans="2:9" ht="21" customHeight="1" x14ac:dyDescent="0.3">
      <c r="B591" s="13" t="s">
        <v>267</v>
      </c>
      <c r="C591" s="13" t="s">
        <v>232</v>
      </c>
      <c r="D591" s="13" t="s">
        <v>241</v>
      </c>
      <c r="E591" s="13" t="s">
        <v>79</v>
      </c>
      <c r="F591" s="7">
        <v>45176</v>
      </c>
      <c r="H591" s="2">
        <v>1</v>
      </c>
      <c r="I591" s="217" t="s">
        <v>79</v>
      </c>
    </row>
    <row r="592" spans="2:9" ht="21" customHeight="1" x14ac:dyDescent="0.3">
      <c r="B592" s="13" t="s">
        <v>291</v>
      </c>
      <c r="C592" s="13" t="s">
        <v>232</v>
      </c>
      <c r="D592" s="13" t="s">
        <v>241</v>
      </c>
      <c r="E592" s="13" t="s">
        <v>79</v>
      </c>
      <c r="F592" s="7">
        <v>45170</v>
      </c>
      <c r="H592" s="2">
        <v>1</v>
      </c>
      <c r="I592" s="217" t="s">
        <v>347</v>
      </c>
    </row>
    <row r="593" spans="2:9" ht="21" customHeight="1" x14ac:dyDescent="0.3">
      <c r="B593" s="13" t="s">
        <v>291</v>
      </c>
      <c r="C593" s="13" t="s">
        <v>232</v>
      </c>
      <c r="D593" s="13" t="s">
        <v>241</v>
      </c>
      <c r="E593" s="13" t="s">
        <v>79</v>
      </c>
      <c r="F593" s="7">
        <v>45173</v>
      </c>
      <c r="H593" s="2">
        <v>1</v>
      </c>
      <c r="I593" s="217" t="s">
        <v>347</v>
      </c>
    </row>
    <row r="594" spans="2:9" ht="21" customHeight="1" x14ac:dyDescent="0.3">
      <c r="B594" s="13" t="s">
        <v>291</v>
      </c>
      <c r="C594" s="13" t="s">
        <v>232</v>
      </c>
      <c r="D594" s="13" t="s">
        <v>241</v>
      </c>
      <c r="E594" s="13" t="s">
        <v>79</v>
      </c>
      <c r="F594" s="7">
        <v>45174</v>
      </c>
      <c r="H594" s="2">
        <v>1</v>
      </c>
      <c r="I594" s="217" t="s">
        <v>347</v>
      </c>
    </row>
    <row r="595" spans="2:9" ht="21" customHeight="1" x14ac:dyDescent="0.3">
      <c r="B595" s="13" t="s">
        <v>291</v>
      </c>
      <c r="C595" s="13" t="s">
        <v>232</v>
      </c>
      <c r="D595" s="13" t="s">
        <v>241</v>
      </c>
      <c r="E595" s="13" t="s">
        <v>79</v>
      </c>
      <c r="F595" s="7">
        <v>45175</v>
      </c>
      <c r="H595" s="2">
        <v>1</v>
      </c>
      <c r="I595" s="217" t="s">
        <v>347</v>
      </c>
    </row>
    <row r="596" spans="2:9" ht="21" customHeight="1" x14ac:dyDescent="0.3">
      <c r="B596" s="13" t="s">
        <v>335</v>
      </c>
      <c r="C596" s="13" t="s">
        <v>232</v>
      </c>
      <c r="D596" s="13" t="s">
        <v>244</v>
      </c>
      <c r="E596" s="13" t="s">
        <v>79</v>
      </c>
      <c r="F596" s="7">
        <v>45175</v>
      </c>
      <c r="H596" s="2">
        <v>1</v>
      </c>
      <c r="I596" s="217" t="s">
        <v>79</v>
      </c>
    </row>
    <row r="597" spans="2:9" ht="21" customHeight="1" x14ac:dyDescent="0.3">
      <c r="B597" s="13" t="s">
        <v>219</v>
      </c>
      <c r="C597" s="13" t="s">
        <v>233</v>
      </c>
      <c r="D597" s="13" t="s">
        <v>241</v>
      </c>
      <c r="E597" s="13" t="s">
        <v>79</v>
      </c>
      <c r="F597" s="7">
        <v>45184</v>
      </c>
      <c r="H597" s="2">
        <v>1</v>
      </c>
      <c r="I597" s="217" t="s">
        <v>79</v>
      </c>
    </row>
    <row r="598" spans="2:9" ht="21" customHeight="1" x14ac:dyDescent="0.3">
      <c r="B598" s="13" t="s">
        <v>228</v>
      </c>
      <c r="C598" s="13" t="s">
        <v>233</v>
      </c>
      <c r="D598" s="13" t="s">
        <v>246</v>
      </c>
      <c r="E598" s="13" t="s">
        <v>79</v>
      </c>
      <c r="F598" s="7">
        <v>45194</v>
      </c>
      <c r="H598" s="2">
        <v>1</v>
      </c>
      <c r="I598" s="217" t="s">
        <v>79</v>
      </c>
    </row>
    <row r="599" spans="2:9" ht="21" customHeight="1" x14ac:dyDescent="0.3">
      <c r="B599" s="13" t="s">
        <v>289</v>
      </c>
      <c r="C599" s="13" t="s">
        <v>233</v>
      </c>
      <c r="D599" s="13" t="s">
        <v>246</v>
      </c>
      <c r="E599" s="13" t="s">
        <v>79</v>
      </c>
      <c r="F599" s="7">
        <v>45187</v>
      </c>
      <c r="H599" s="2">
        <v>1</v>
      </c>
      <c r="I599" s="217" t="s">
        <v>79</v>
      </c>
    </row>
    <row r="600" spans="2:9" ht="21" customHeight="1" x14ac:dyDescent="0.3">
      <c r="B600" s="13" t="s">
        <v>317</v>
      </c>
      <c r="C600" s="13" t="s">
        <v>233</v>
      </c>
      <c r="D600" s="13" t="s">
        <v>246</v>
      </c>
      <c r="E600" s="13" t="s">
        <v>79</v>
      </c>
      <c r="F600" s="7">
        <v>45175</v>
      </c>
      <c r="H600" s="2">
        <v>1</v>
      </c>
      <c r="I600" s="217" t="s">
        <v>79</v>
      </c>
    </row>
    <row r="601" spans="2:9" ht="21" customHeight="1" x14ac:dyDescent="0.3">
      <c r="B601" s="13" t="s">
        <v>229</v>
      </c>
      <c r="C601" s="13" t="s">
        <v>232</v>
      </c>
      <c r="D601" s="13" t="s">
        <v>244</v>
      </c>
      <c r="E601" s="13" t="s">
        <v>79</v>
      </c>
      <c r="F601" s="7">
        <v>45229</v>
      </c>
      <c r="H601" s="2">
        <v>1</v>
      </c>
      <c r="I601" s="217" t="s">
        <v>79</v>
      </c>
    </row>
    <row r="602" spans="2:9" ht="21" customHeight="1" x14ac:dyDescent="0.3">
      <c r="B602" s="13" t="s">
        <v>267</v>
      </c>
      <c r="C602" s="13" t="s">
        <v>232</v>
      </c>
      <c r="D602" s="13" t="s">
        <v>241</v>
      </c>
      <c r="E602" s="13" t="s">
        <v>79</v>
      </c>
      <c r="F602" s="7">
        <v>45222</v>
      </c>
      <c r="H602" s="2">
        <v>1</v>
      </c>
      <c r="I602" s="217" t="s">
        <v>79</v>
      </c>
    </row>
    <row r="603" spans="2:9" ht="21" customHeight="1" x14ac:dyDescent="0.3">
      <c r="B603" s="13" t="s">
        <v>335</v>
      </c>
      <c r="C603" s="13" t="s">
        <v>232</v>
      </c>
      <c r="D603" s="13" t="s">
        <v>244</v>
      </c>
      <c r="E603" s="13" t="s">
        <v>79</v>
      </c>
      <c r="F603" s="7">
        <v>45211</v>
      </c>
      <c r="H603" s="2">
        <v>1</v>
      </c>
      <c r="I603" s="217" t="s">
        <v>79</v>
      </c>
    </row>
    <row r="604" spans="2:9" ht="21" customHeight="1" x14ac:dyDescent="0.3">
      <c r="B604" s="13" t="s">
        <v>219</v>
      </c>
      <c r="C604" s="13" t="s">
        <v>233</v>
      </c>
      <c r="D604" s="13" t="s">
        <v>241</v>
      </c>
      <c r="E604" s="13" t="s">
        <v>79</v>
      </c>
      <c r="F604" s="7">
        <v>45205</v>
      </c>
      <c r="H604" s="2">
        <v>1</v>
      </c>
      <c r="I604" s="217" t="s">
        <v>79</v>
      </c>
    </row>
    <row r="605" spans="2:9" ht="21" customHeight="1" x14ac:dyDescent="0.3">
      <c r="B605" s="13" t="s">
        <v>228</v>
      </c>
      <c r="C605" s="13" t="s">
        <v>233</v>
      </c>
      <c r="D605" s="13" t="s">
        <v>246</v>
      </c>
      <c r="E605" s="13" t="s">
        <v>79</v>
      </c>
      <c r="F605" s="7">
        <v>45219</v>
      </c>
      <c r="H605" s="2">
        <v>1</v>
      </c>
      <c r="I605" s="217" t="s">
        <v>79</v>
      </c>
    </row>
    <row r="606" spans="2:9" ht="21" customHeight="1" x14ac:dyDescent="0.3">
      <c r="B606" s="13" t="s">
        <v>289</v>
      </c>
      <c r="C606" s="13" t="s">
        <v>233</v>
      </c>
      <c r="D606" s="13" t="s">
        <v>246</v>
      </c>
      <c r="E606" s="13" t="s">
        <v>79</v>
      </c>
      <c r="F606" s="7">
        <v>45226</v>
      </c>
      <c r="H606" s="2">
        <v>1</v>
      </c>
      <c r="I606" s="217" t="s">
        <v>79</v>
      </c>
    </row>
    <row r="607" spans="2:9" ht="21" customHeight="1" x14ac:dyDescent="0.3">
      <c r="B607" s="13" t="s">
        <v>317</v>
      </c>
      <c r="C607" s="13" t="s">
        <v>233</v>
      </c>
      <c r="D607" s="13" t="s">
        <v>246</v>
      </c>
      <c r="E607" s="13" t="s">
        <v>79</v>
      </c>
      <c r="F607" s="7">
        <v>45222</v>
      </c>
      <c r="H607" s="2">
        <v>1</v>
      </c>
      <c r="I607" s="217" t="s">
        <v>79</v>
      </c>
    </row>
    <row r="608" spans="2:9" ht="21" customHeight="1" x14ac:dyDescent="0.3">
      <c r="B608" s="13" t="s">
        <v>231</v>
      </c>
      <c r="C608" s="13" t="s">
        <v>235</v>
      </c>
      <c r="D608" s="13" t="s">
        <v>246</v>
      </c>
      <c r="E608" s="13" t="s">
        <v>350</v>
      </c>
      <c r="F608" s="7">
        <v>45218</v>
      </c>
      <c r="H608" s="2">
        <v>0.5</v>
      </c>
      <c r="I608" s="217" t="s">
        <v>350</v>
      </c>
    </row>
    <row r="609" spans="2:9" ht="21" customHeight="1" x14ac:dyDescent="0.3">
      <c r="B609" s="13" t="s">
        <v>231</v>
      </c>
      <c r="C609" s="13" t="s">
        <v>235</v>
      </c>
      <c r="D609" s="13" t="s">
        <v>246</v>
      </c>
      <c r="E609" s="13" t="s">
        <v>79</v>
      </c>
      <c r="F609" s="7">
        <v>45219</v>
      </c>
      <c r="H609" s="2">
        <v>1</v>
      </c>
      <c r="I609" s="217" t="s">
        <v>79</v>
      </c>
    </row>
    <row r="610" spans="2:9" ht="21" customHeight="1" x14ac:dyDescent="0.3">
      <c r="B610" s="13" t="s">
        <v>336</v>
      </c>
      <c r="C610" s="13" t="s">
        <v>235</v>
      </c>
      <c r="D610" s="13" t="s">
        <v>246</v>
      </c>
      <c r="E610" s="13" t="s">
        <v>350</v>
      </c>
      <c r="F610" s="7">
        <v>45215</v>
      </c>
      <c r="H610" s="2">
        <v>0.5</v>
      </c>
      <c r="I610" s="217" t="s">
        <v>281</v>
      </c>
    </row>
    <row r="611" spans="2:9" ht="21" customHeight="1" x14ac:dyDescent="0.3">
      <c r="B611" s="13" t="s">
        <v>222</v>
      </c>
      <c r="C611" s="13" t="s">
        <v>235</v>
      </c>
      <c r="D611" s="13" t="s">
        <v>243</v>
      </c>
      <c r="E611" s="13" t="s">
        <v>79</v>
      </c>
      <c r="F611" s="7">
        <v>45222</v>
      </c>
      <c r="H611" s="2">
        <v>1</v>
      </c>
      <c r="I611" s="217" t="s">
        <v>79</v>
      </c>
    </row>
    <row r="612" spans="2:9" ht="21" customHeight="1" x14ac:dyDescent="0.3">
      <c r="B612" s="13" t="s">
        <v>348</v>
      </c>
      <c r="C612" s="13" t="s">
        <v>232</v>
      </c>
      <c r="D612" s="13" t="s">
        <v>246</v>
      </c>
      <c r="E612" s="13" t="s">
        <v>79</v>
      </c>
      <c r="F612" s="7">
        <v>45222</v>
      </c>
      <c r="H612" s="2">
        <v>1</v>
      </c>
      <c r="I612" s="217" t="s">
        <v>79</v>
      </c>
    </row>
    <row r="613" spans="2:9" ht="21" customHeight="1" x14ac:dyDescent="0.3">
      <c r="B613" s="13" t="s">
        <v>267</v>
      </c>
      <c r="C613" s="13" t="s">
        <v>232</v>
      </c>
      <c r="D613" s="13" t="s">
        <v>241</v>
      </c>
      <c r="E613" s="13" t="s">
        <v>79</v>
      </c>
      <c r="F613" s="7">
        <v>45236</v>
      </c>
      <c r="H613" s="2">
        <v>1</v>
      </c>
      <c r="I613" s="217" t="s">
        <v>79</v>
      </c>
    </row>
    <row r="614" spans="2:9" ht="21" customHeight="1" x14ac:dyDescent="0.3">
      <c r="B614" s="13" t="s">
        <v>267</v>
      </c>
      <c r="C614" s="13" t="s">
        <v>232</v>
      </c>
      <c r="D614" s="13" t="s">
        <v>241</v>
      </c>
      <c r="E614" s="13" t="s">
        <v>79</v>
      </c>
      <c r="F614" s="7">
        <v>45254</v>
      </c>
      <c r="H614" s="2">
        <v>1</v>
      </c>
      <c r="I614" s="217" t="s">
        <v>79</v>
      </c>
    </row>
    <row r="615" spans="2:9" ht="21" customHeight="1" x14ac:dyDescent="0.3">
      <c r="B615" s="13" t="s">
        <v>229</v>
      </c>
      <c r="C615" s="13" t="s">
        <v>232</v>
      </c>
      <c r="D615" s="13" t="s">
        <v>244</v>
      </c>
      <c r="E615" s="13" t="s">
        <v>79</v>
      </c>
      <c r="F615" s="7">
        <v>45240</v>
      </c>
      <c r="H615" s="2">
        <v>1</v>
      </c>
      <c r="I615" s="217" t="s">
        <v>79</v>
      </c>
    </row>
    <row r="616" spans="2:9" ht="21" customHeight="1" x14ac:dyDescent="0.3">
      <c r="B616" s="13" t="s">
        <v>229</v>
      </c>
      <c r="C616" s="13" t="s">
        <v>232</v>
      </c>
      <c r="D616" s="13" t="s">
        <v>244</v>
      </c>
      <c r="E616" s="13" t="s">
        <v>79</v>
      </c>
      <c r="F616" s="7">
        <v>45250</v>
      </c>
      <c r="H616" s="2">
        <v>1</v>
      </c>
      <c r="I616" s="217" t="s">
        <v>79</v>
      </c>
    </row>
    <row r="617" spans="2:9" ht="21" customHeight="1" x14ac:dyDescent="0.3">
      <c r="B617" s="13" t="s">
        <v>291</v>
      </c>
      <c r="C617" s="13" t="s">
        <v>232</v>
      </c>
      <c r="D617" s="13" t="s">
        <v>241</v>
      </c>
      <c r="E617" s="13" t="s">
        <v>79</v>
      </c>
      <c r="F617" s="7">
        <v>45260</v>
      </c>
      <c r="H617" s="2">
        <v>1</v>
      </c>
      <c r="I617" s="217" t="s">
        <v>281</v>
      </c>
    </row>
    <row r="618" spans="2:9" ht="21" customHeight="1" x14ac:dyDescent="0.3">
      <c r="B618" s="13" t="s">
        <v>337</v>
      </c>
      <c r="C618" s="13" t="s">
        <v>232</v>
      </c>
      <c r="D618" s="13" t="s">
        <v>244</v>
      </c>
      <c r="E618" s="13" t="s">
        <v>79</v>
      </c>
      <c r="F618" s="7">
        <v>45243</v>
      </c>
      <c r="H618" s="2">
        <v>1</v>
      </c>
      <c r="I618" s="217" t="s">
        <v>79</v>
      </c>
    </row>
    <row r="619" spans="2:9" ht="21" customHeight="1" x14ac:dyDescent="0.3">
      <c r="B619" s="13" t="s">
        <v>337</v>
      </c>
      <c r="C619" s="13" t="s">
        <v>232</v>
      </c>
      <c r="D619" s="13" t="s">
        <v>244</v>
      </c>
      <c r="E619" s="13" t="s">
        <v>79</v>
      </c>
      <c r="F619" s="7">
        <v>45257</v>
      </c>
      <c r="H619" s="2">
        <v>1</v>
      </c>
      <c r="I619" s="217" t="s">
        <v>79</v>
      </c>
    </row>
    <row r="620" spans="2:9" ht="21" customHeight="1" x14ac:dyDescent="0.3">
      <c r="B620" s="13" t="s">
        <v>219</v>
      </c>
      <c r="C620" s="13" t="s">
        <v>233</v>
      </c>
      <c r="D620" s="13" t="s">
        <v>241</v>
      </c>
      <c r="E620" s="13" t="s">
        <v>79</v>
      </c>
      <c r="F620" s="7">
        <v>45250</v>
      </c>
      <c r="H620" s="2">
        <v>1</v>
      </c>
      <c r="I620" s="217" t="s">
        <v>79</v>
      </c>
    </row>
    <row r="621" spans="2:9" ht="21" customHeight="1" x14ac:dyDescent="0.3">
      <c r="B621" s="13" t="s">
        <v>228</v>
      </c>
      <c r="C621" s="13" t="s">
        <v>233</v>
      </c>
      <c r="D621" s="13" t="s">
        <v>246</v>
      </c>
      <c r="E621" s="13" t="s">
        <v>79</v>
      </c>
      <c r="F621" s="7">
        <v>45238</v>
      </c>
      <c r="H621" s="2">
        <v>1</v>
      </c>
      <c r="I621" s="217" t="s">
        <v>79</v>
      </c>
    </row>
    <row r="622" spans="2:9" ht="21" customHeight="1" x14ac:dyDescent="0.3">
      <c r="B622" s="13" t="s">
        <v>228</v>
      </c>
      <c r="C622" s="13" t="s">
        <v>233</v>
      </c>
      <c r="D622" s="13" t="s">
        <v>246</v>
      </c>
      <c r="E622" s="13" t="s">
        <v>79</v>
      </c>
      <c r="F622" s="7">
        <v>45247</v>
      </c>
      <c r="H622" s="2">
        <v>1</v>
      </c>
      <c r="I622" s="217" t="s">
        <v>79</v>
      </c>
    </row>
    <row r="623" spans="2:9" ht="21" customHeight="1" x14ac:dyDescent="0.3">
      <c r="B623" s="13" t="s">
        <v>289</v>
      </c>
      <c r="C623" s="13" t="s">
        <v>233</v>
      </c>
      <c r="D623" s="13" t="s">
        <v>246</v>
      </c>
      <c r="E623" s="13" t="s">
        <v>79</v>
      </c>
      <c r="F623" s="7">
        <v>45252</v>
      </c>
      <c r="H623" s="2">
        <v>1</v>
      </c>
      <c r="I623" s="217" t="s">
        <v>79</v>
      </c>
    </row>
    <row r="624" spans="2:9" ht="21" customHeight="1" x14ac:dyDescent="0.3">
      <c r="B624" s="13" t="s">
        <v>289</v>
      </c>
      <c r="C624" s="13" t="s">
        <v>233</v>
      </c>
      <c r="D624" s="13" t="s">
        <v>246</v>
      </c>
      <c r="E624" s="13" t="s">
        <v>79</v>
      </c>
      <c r="F624" s="7">
        <v>45259</v>
      </c>
      <c r="H624" s="2">
        <v>1</v>
      </c>
      <c r="I624" s="217" t="s">
        <v>79</v>
      </c>
    </row>
    <row r="625" spans="2:9" ht="21" customHeight="1" x14ac:dyDescent="0.3">
      <c r="B625" s="13" t="s">
        <v>317</v>
      </c>
      <c r="C625" s="13" t="s">
        <v>233</v>
      </c>
      <c r="D625" s="13" t="s">
        <v>246</v>
      </c>
      <c r="E625" s="13" t="s">
        <v>79</v>
      </c>
      <c r="F625" s="7">
        <v>45254</v>
      </c>
      <c r="H625" s="2">
        <v>1</v>
      </c>
      <c r="I625" s="217" t="s">
        <v>79</v>
      </c>
    </row>
    <row r="626" spans="2:9" ht="21" customHeight="1" x14ac:dyDescent="0.3">
      <c r="B626" s="13" t="s">
        <v>231</v>
      </c>
      <c r="C626" s="13" t="s">
        <v>235</v>
      </c>
      <c r="D626" s="13" t="s">
        <v>246</v>
      </c>
      <c r="E626" s="13" t="s">
        <v>79</v>
      </c>
      <c r="F626" s="7">
        <v>45243</v>
      </c>
      <c r="H626" s="2">
        <v>1</v>
      </c>
      <c r="I626" s="217" t="s">
        <v>79</v>
      </c>
    </row>
    <row r="627" spans="2:9" ht="21" customHeight="1" x14ac:dyDescent="0.3">
      <c r="B627" s="13" t="s">
        <v>231</v>
      </c>
      <c r="C627" s="13" t="s">
        <v>235</v>
      </c>
      <c r="D627" s="13" t="s">
        <v>246</v>
      </c>
      <c r="E627" s="13" t="s">
        <v>79</v>
      </c>
      <c r="F627" s="7">
        <v>45257</v>
      </c>
      <c r="H627" s="2">
        <v>1</v>
      </c>
      <c r="I627" s="217" t="s">
        <v>79</v>
      </c>
    </row>
    <row r="628" spans="2:9" ht="21" customHeight="1" x14ac:dyDescent="0.3">
      <c r="B628" s="13" t="s">
        <v>336</v>
      </c>
      <c r="C628" s="13" t="s">
        <v>235</v>
      </c>
      <c r="D628" s="13" t="s">
        <v>246</v>
      </c>
      <c r="E628" s="13" t="s">
        <v>79</v>
      </c>
      <c r="F628" s="7">
        <v>45250</v>
      </c>
      <c r="H628" s="2">
        <v>1</v>
      </c>
      <c r="I628" s="217" t="s">
        <v>79</v>
      </c>
    </row>
    <row r="629" spans="2:9" ht="21" customHeight="1" x14ac:dyDescent="0.3">
      <c r="B629" s="13" t="s">
        <v>222</v>
      </c>
      <c r="C629" s="13" t="s">
        <v>235</v>
      </c>
      <c r="D629" s="13" t="s">
        <v>243</v>
      </c>
      <c r="E629" s="13" t="s">
        <v>79</v>
      </c>
      <c r="F629" s="7">
        <v>45243</v>
      </c>
      <c r="H629" s="2">
        <v>1</v>
      </c>
      <c r="I629" s="217" t="s">
        <v>79</v>
      </c>
    </row>
    <row r="630" spans="2:9" ht="21" customHeight="1" x14ac:dyDescent="0.3">
      <c r="B630" s="13" t="s">
        <v>348</v>
      </c>
      <c r="C630" s="13" t="s">
        <v>232</v>
      </c>
      <c r="D630" s="13" t="s">
        <v>246</v>
      </c>
      <c r="E630" s="13" t="s">
        <v>79</v>
      </c>
      <c r="F630" s="7">
        <v>45247</v>
      </c>
      <c r="H630" s="2">
        <v>1</v>
      </c>
      <c r="I630" s="217" t="s">
        <v>79</v>
      </c>
    </row>
    <row r="631" spans="2:9" ht="21" customHeight="1" x14ac:dyDescent="0.3">
      <c r="B631" s="13" t="s">
        <v>267</v>
      </c>
      <c r="C631" s="13" t="s">
        <v>232</v>
      </c>
      <c r="D631" s="13" t="s">
        <v>241</v>
      </c>
      <c r="E631" s="13" t="s">
        <v>79</v>
      </c>
      <c r="F631" s="7">
        <v>45275</v>
      </c>
      <c r="H631" s="2">
        <v>1</v>
      </c>
      <c r="I631" s="217" t="s">
        <v>79</v>
      </c>
    </row>
    <row r="632" spans="2:9" ht="21" customHeight="1" x14ac:dyDescent="0.3">
      <c r="B632" s="13" t="s">
        <v>267</v>
      </c>
      <c r="C632" s="13" t="s">
        <v>232</v>
      </c>
      <c r="D632" s="13" t="s">
        <v>241</v>
      </c>
      <c r="E632" s="13" t="s">
        <v>79</v>
      </c>
      <c r="F632" s="7">
        <v>45287</v>
      </c>
      <c r="H632" s="2">
        <v>1</v>
      </c>
      <c r="I632" s="217" t="s">
        <v>79</v>
      </c>
    </row>
    <row r="633" spans="2:9" ht="21" customHeight="1" x14ac:dyDescent="0.3">
      <c r="B633" s="13" t="s">
        <v>267</v>
      </c>
      <c r="C633" s="13" t="s">
        <v>232</v>
      </c>
      <c r="D633" s="13" t="s">
        <v>241</v>
      </c>
      <c r="E633" s="13" t="s">
        <v>79</v>
      </c>
      <c r="F633" s="7">
        <v>45288</v>
      </c>
      <c r="H633" s="2">
        <v>1</v>
      </c>
      <c r="I633" s="217" t="s">
        <v>79</v>
      </c>
    </row>
    <row r="634" spans="2:9" ht="21" customHeight="1" x14ac:dyDescent="0.3">
      <c r="B634" s="13" t="s">
        <v>229</v>
      </c>
      <c r="C634" s="13" t="s">
        <v>232</v>
      </c>
      <c r="D634" s="13" t="s">
        <v>244</v>
      </c>
      <c r="E634" s="13" t="s">
        <v>79</v>
      </c>
      <c r="F634" s="7">
        <v>45271</v>
      </c>
      <c r="H634" s="2">
        <v>1</v>
      </c>
      <c r="I634" s="217" t="s">
        <v>79</v>
      </c>
    </row>
    <row r="635" spans="2:9" ht="21" customHeight="1" x14ac:dyDescent="0.3">
      <c r="B635" s="13" t="s">
        <v>229</v>
      </c>
      <c r="C635" s="13" t="s">
        <v>232</v>
      </c>
      <c r="D635" s="13" t="s">
        <v>244</v>
      </c>
      <c r="E635" s="13" t="s">
        <v>79</v>
      </c>
      <c r="F635" s="7">
        <v>45278</v>
      </c>
      <c r="H635" s="2">
        <v>1</v>
      </c>
      <c r="I635" s="217" t="s">
        <v>79</v>
      </c>
    </row>
    <row r="636" spans="2:9" ht="21" customHeight="1" x14ac:dyDescent="0.3">
      <c r="B636" s="13" t="s">
        <v>229</v>
      </c>
      <c r="C636" s="13" t="s">
        <v>232</v>
      </c>
      <c r="D636" s="13" t="s">
        <v>244</v>
      </c>
      <c r="E636" s="13" t="s">
        <v>79</v>
      </c>
      <c r="F636" s="7">
        <v>45286</v>
      </c>
      <c r="H636" s="2">
        <v>1</v>
      </c>
      <c r="I636" s="217" t="s">
        <v>79</v>
      </c>
    </row>
    <row r="637" spans="2:9" ht="21" customHeight="1" x14ac:dyDescent="0.3">
      <c r="B637" s="13" t="s">
        <v>335</v>
      </c>
      <c r="C637" s="13" t="s">
        <v>232</v>
      </c>
      <c r="D637" s="13" t="s">
        <v>244</v>
      </c>
      <c r="E637" s="13" t="s">
        <v>79</v>
      </c>
      <c r="F637" s="7">
        <v>45267</v>
      </c>
      <c r="H637" s="2">
        <v>1</v>
      </c>
      <c r="I637" s="217" t="s">
        <v>79</v>
      </c>
    </row>
    <row r="638" spans="2:9" ht="21" customHeight="1" x14ac:dyDescent="0.3">
      <c r="B638" s="13" t="s">
        <v>335</v>
      </c>
      <c r="C638" s="13" t="s">
        <v>232</v>
      </c>
      <c r="D638" s="13" t="s">
        <v>244</v>
      </c>
      <c r="E638" s="13" t="s">
        <v>281</v>
      </c>
      <c r="F638" s="7">
        <v>45274</v>
      </c>
      <c r="H638" s="2">
        <v>0.5</v>
      </c>
      <c r="I638" s="217" t="s">
        <v>281</v>
      </c>
    </row>
    <row r="639" spans="2:9" ht="21" customHeight="1" x14ac:dyDescent="0.3">
      <c r="B639" s="13" t="s">
        <v>337</v>
      </c>
      <c r="C639" s="13" t="s">
        <v>232</v>
      </c>
      <c r="D639" s="13" t="s">
        <v>244</v>
      </c>
      <c r="E639" s="13" t="s">
        <v>79</v>
      </c>
      <c r="F639" s="7">
        <v>45264</v>
      </c>
      <c r="H639" s="2">
        <v>1</v>
      </c>
      <c r="I639" s="217" t="s">
        <v>79</v>
      </c>
    </row>
    <row r="640" spans="2:9" ht="21" customHeight="1" x14ac:dyDescent="0.3">
      <c r="B640" s="13" t="s">
        <v>337</v>
      </c>
      <c r="C640" s="13" t="s">
        <v>232</v>
      </c>
      <c r="D640" s="13" t="s">
        <v>244</v>
      </c>
      <c r="E640" s="13" t="s">
        <v>79</v>
      </c>
      <c r="F640" s="7">
        <v>45268</v>
      </c>
      <c r="H640" s="2">
        <v>1</v>
      </c>
      <c r="I640" s="217" t="s">
        <v>79</v>
      </c>
    </row>
    <row r="641" spans="2:9" ht="21" customHeight="1" x14ac:dyDescent="0.3">
      <c r="B641" s="13" t="s">
        <v>337</v>
      </c>
      <c r="C641" s="13" t="s">
        <v>232</v>
      </c>
      <c r="D641" s="13" t="s">
        <v>244</v>
      </c>
      <c r="E641" s="13" t="s">
        <v>79</v>
      </c>
      <c r="F641" s="7">
        <v>45282</v>
      </c>
      <c r="H641" s="2">
        <v>1</v>
      </c>
      <c r="I641" s="217" t="s">
        <v>79</v>
      </c>
    </row>
    <row r="642" spans="2:9" ht="21" customHeight="1" x14ac:dyDescent="0.3">
      <c r="B642" s="13" t="s">
        <v>219</v>
      </c>
      <c r="C642" s="13" t="s">
        <v>233</v>
      </c>
      <c r="D642" s="13" t="s">
        <v>241</v>
      </c>
      <c r="E642" s="13" t="s">
        <v>79</v>
      </c>
      <c r="F642" s="7">
        <v>45264</v>
      </c>
      <c r="H642" s="2">
        <v>1</v>
      </c>
      <c r="I642" s="217" t="s">
        <v>79</v>
      </c>
    </row>
    <row r="643" spans="2:9" ht="21" customHeight="1" x14ac:dyDescent="0.3">
      <c r="B643" s="13" t="s">
        <v>219</v>
      </c>
      <c r="C643" s="13" t="s">
        <v>233</v>
      </c>
      <c r="D643" s="13" t="s">
        <v>241</v>
      </c>
      <c r="E643" s="13" t="s">
        <v>79</v>
      </c>
      <c r="F643" s="7">
        <v>45265</v>
      </c>
      <c r="H643" s="2">
        <v>1</v>
      </c>
      <c r="I643" s="217" t="s">
        <v>79</v>
      </c>
    </row>
    <row r="644" spans="2:9" ht="21" customHeight="1" x14ac:dyDescent="0.3">
      <c r="B644" s="13" t="s">
        <v>219</v>
      </c>
      <c r="C644" s="13" t="s">
        <v>233</v>
      </c>
      <c r="D644" s="13" t="s">
        <v>241</v>
      </c>
      <c r="E644" s="13" t="s">
        <v>79</v>
      </c>
      <c r="F644" s="7">
        <v>45278</v>
      </c>
      <c r="H644" s="2">
        <v>1</v>
      </c>
      <c r="I644" s="217" t="s">
        <v>79</v>
      </c>
    </row>
    <row r="645" spans="2:9" ht="21" customHeight="1" x14ac:dyDescent="0.3">
      <c r="B645" s="13" t="s">
        <v>228</v>
      </c>
      <c r="C645" s="13" t="s">
        <v>233</v>
      </c>
      <c r="D645" s="13" t="s">
        <v>246</v>
      </c>
      <c r="E645" s="13" t="s">
        <v>79</v>
      </c>
      <c r="F645" s="7">
        <v>45268</v>
      </c>
      <c r="H645" s="2">
        <v>1</v>
      </c>
      <c r="I645" s="217" t="s">
        <v>79</v>
      </c>
    </row>
    <row r="646" spans="2:9" ht="21" customHeight="1" x14ac:dyDescent="0.3">
      <c r="B646" s="13" t="s">
        <v>228</v>
      </c>
      <c r="C646" s="13" t="s">
        <v>233</v>
      </c>
      <c r="D646" s="13" t="s">
        <v>246</v>
      </c>
      <c r="E646" s="13" t="s">
        <v>79</v>
      </c>
      <c r="F646" s="7">
        <v>45288</v>
      </c>
      <c r="H646" s="2">
        <v>1</v>
      </c>
      <c r="I646" s="217" t="s">
        <v>79</v>
      </c>
    </row>
    <row r="647" spans="2:9" ht="21" customHeight="1" x14ac:dyDescent="0.3">
      <c r="B647" s="13" t="s">
        <v>289</v>
      </c>
      <c r="C647" s="13" t="s">
        <v>233</v>
      </c>
      <c r="D647" s="13" t="s">
        <v>246</v>
      </c>
      <c r="E647" s="13" t="s">
        <v>79</v>
      </c>
      <c r="F647" s="7">
        <v>45275</v>
      </c>
      <c r="H647" s="2">
        <v>1</v>
      </c>
      <c r="I647" s="217" t="s">
        <v>79</v>
      </c>
    </row>
    <row r="648" spans="2:9" ht="21" customHeight="1" x14ac:dyDescent="0.3">
      <c r="B648" s="13" t="s">
        <v>289</v>
      </c>
      <c r="C648" s="13" t="s">
        <v>233</v>
      </c>
      <c r="D648" s="13" t="s">
        <v>246</v>
      </c>
      <c r="E648" s="13" t="s">
        <v>79</v>
      </c>
      <c r="F648" s="7">
        <v>45282</v>
      </c>
      <c r="H648" s="2">
        <v>1</v>
      </c>
      <c r="I648" s="217" t="s">
        <v>79</v>
      </c>
    </row>
    <row r="649" spans="2:9" ht="21" customHeight="1" x14ac:dyDescent="0.3">
      <c r="B649" s="13" t="s">
        <v>289</v>
      </c>
      <c r="C649" s="13" t="s">
        <v>233</v>
      </c>
      <c r="D649" s="13" t="s">
        <v>246</v>
      </c>
      <c r="E649" s="13" t="s">
        <v>79</v>
      </c>
      <c r="F649" s="7">
        <v>45287</v>
      </c>
      <c r="H649" s="2">
        <v>1</v>
      </c>
      <c r="I649" s="217" t="s">
        <v>79</v>
      </c>
    </row>
    <row r="650" spans="2:9" ht="21" customHeight="1" x14ac:dyDescent="0.3">
      <c r="B650" s="13" t="s">
        <v>317</v>
      </c>
      <c r="C650" s="13" t="s">
        <v>233</v>
      </c>
      <c r="D650" s="13" t="s">
        <v>246</v>
      </c>
      <c r="E650" s="13" t="s">
        <v>79</v>
      </c>
      <c r="F650" s="7">
        <v>45268</v>
      </c>
      <c r="H650" s="2">
        <v>1</v>
      </c>
      <c r="I650" s="217" t="s">
        <v>79</v>
      </c>
    </row>
    <row r="651" spans="2:9" ht="21" customHeight="1" x14ac:dyDescent="0.3">
      <c r="B651" s="13" t="s">
        <v>317</v>
      </c>
      <c r="C651" s="13" t="s">
        <v>233</v>
      </c>
      <c r="D651" s="13" t="s">
        <v>246</v>
      </c>
      <c r="E651" s="13" t="s">
        <v>79</v>
      </c>
      <c r="F651" s="7">
        <v>45279</v>
      </c>
      <c r="H651" s="2">
        <v>1</v>
      </c>
      <c r="I651" s="217" t="s">
        <v>79</v>
      </c>
    </row>
    <row r="652" spans="2:9" ht="21" customHeight="1" x14ac:dyDescent="0.3">
      <c r="B652" s="13" t="s">
        <v>231</v>
      </c>
      <c r="C652" s="13" t="s">
        <v>235</v>
      </c>
      <c r="D652" s="13" t="s">
        <v>246</v>
      </c>
      <c r="E652" s="13" t="s">
        <v>281</v>
      </c>
      <c r="F652" s="7">
        <v>45261</v>
      </c>
      <c r="H652" s="2">
        <v>0.5</v>
      </c>
      <c r="I652" s="217" t="s">
        <v>281</v>
      </c>
    </row>
    <row r="653" spans="2:9" ht="21" customHeight="1" x14ac:dyDescent="0.3">
      <c r="B653" s="13" t="s">
        <v>231</v>
      </c>
      <c r="C653" s="13" t="s">
        <v>235</v>
      </c>
      <c r="D653" s="13" t="s">
        <v>246</v>
      </c>
      <c r="E653" s="13" t="s">
        <v>79</v>
      </c>
      <c r="F653" s="7">
        <v>45271</v>
      </c>
      <c r="H653" s="2">
        <v>1</v>
      </c>
      <c r="I653" s="217" t="s">
        <v>79</v>
      </c>
    </row>
    <row r="654" spans="2:9" ht="21" customHeight="1" x14ac:dyDescent="0.3">
      <c r="B654" s="13" t="s">
        <v>231</v>
      </c>
      <c r="C654" s="13" t="s">
        <v>235</v>
      </c>
      <c r="D654" s="13" t="s">
        <v>246</v>
      </c>
      <c r="E654" s="13" t="s">
        <v>79</v>
      </c>
      <c r="F654" s="7">
        <v>45278</v>
      </c>
      <c r="H654" s="2">
        <v>1</v>
      </c>
      <c r="I654" s="217" t="s">
        <v>79</v>
      </c>
    </row>
    <row r="655" spans="2:9" ht="21" customHeight="1" x14ac:dyDescent="0.3">
      <c r="B655" s="13" t="s">
        <v>336</v>
      </c>
      <c r="C655" s="13" t="s">
        <v>235</v>
      </c>
      <c r="D655" s="13" t="s">
        <v>246</v>
      </c>
      <c r="E655" s="13" t="s">
        <v>79</v>
      </c>
      <c r="F655" s="7">
        <v>45264</v>
      </c>
      <c r="H655" s="2">
        <v>1</v>
      </c>
      <c r="I655" s="217" t="s">
        <v>79</v>
      </c>
    </row>
    <row r="656" spans="2:9" ht="21" customHeight="1" x14ac:dyDescent="0.3">
      <c r="B656" s="13" t="s">
        <v>336</v>
      </c>
      <c r="C656" s="13" t="s">
        <v>235</v>
      </c>
      <c r="D656" s="13" t="s">
        <v>246</v>
      </c>
      <c r="E656" s="13" t="s">
        <v>79</v>
      </c>
      <c r="F656" s="7">
        <v>45282</v>
      </c>
      <c r="H656" s="2">
        <v>1</v>
      </c>
      <c r="I656" s="217" t="s">
        <v>79</v>
      </c>
    </row>
    <row r="657" spans="2:9" ht="21" customHeight="1" x14ac:dyDescent="0.3">
      <c r="B657" s="13" t="s">
        <v>348</v>
      </c>
      <c r="C657" s="13" t="s">
        <v>232</v>
      </c>
      <c r="D657" s="13" t="s">
        <v>246</v>
      </c>
      <c r="E657" s="13" t="s">
        <v>281</v>
      </c>
      <c r="F657" s="7">
        <v>45275</v>
      </c>
      <c r="H657" s="2">
        <v>0.5</v>
      </c>
      <c r="I657" s="217" t="s">
        <v>281</v>
      </c>
    </row>
    <row r="658" spans="2:9" ht="21" customHeight="1" x14ac:dyDescent="0.3">
      <c r="B658" s="13" t="s">
        <v>348</v>
      </c>
      <c r="C658" s="13" t="s">
        <v>232</v>
      </c>
      <c r="D658" s="13" t="s">
        <v>246</v>
      </c>
      <c r="E658" s="13" t="s">
        <v>281</v>
      </c>
      <c r="F658" s="7">
        <v>45281</v>
      </c>
      <c r="H658" s="2">
        <v>0.5</v>
      </c>
      <c r="I658" s="217" t="s">
        <v>281</v>
      </c>
    </row>
    <row r="659" spans="2:9" ht="21" customHeight="1" x14ac:dyDescent="0.3">
      <c r="B659" s="13" t="s">
        <v>222</v>
      </c>
      <c r="C659" s="13" t="s">
        <v>235</v>
      </c>
      <c r="D659" s="13" t="s">
        <v>243</v>
      </c>
      <c r="E659" s="13" t="s">
        <v>79</v>
      </c>
      <c r="F659" s="7">
        <v>45271</v>
      </c>
      <c r="H659" s="2">
        <v>1</v>
      </c>
      <c r="I659" s="217" t="s">
        <v>79</v>
      </c>
    </row>
    <row r="660" spans="2:9" ht="21" customHeight="1" x14ac:dyDescent="0.3">
      <c r="B660" s="13" t="s">
        <v>222</v>
      </c>
      <c r="C660" s="13" t="s">
        <v>235</v>
      </c>
      <c r="D660" s="13" t="s">
        <v>243</v>
      </c>
      <c r="E660" s="13" t="s">
        <v>79</v>
      </c>
      <c r="F660" s="7">
        <v>45278</v>
      </c>
      <c r="H660" s="2">
        <v>1</v>
      </c>
      <c r="I660" s="217" t="s">
        <v>79</v>
      </c>
    </row>
    <row r="661" spans="2:9" ht="21" customHeight="1" x14ac:dyDescent="0.3">
      <c r="B661" s="13" t="s">
        <v>222</v>
      </c>
      <c r="C661" s="13" t="s">
        <v>235</v>
      </c>
      <c r="D661" s="13" t="s">
        <v>243</v>
      </c>
      <c r="E661" s="13" t="s">
        <v>79</v>
      </c>
      <c r="F661" s="7">
        <v>45280</v>
      </c>
      <c r="H661" s="2">
        <v>1</v>
      </c>
      <c r="I661" s="217" t="s">
        <v>79</v>
      </c>
    </row>
    <row r="662" spans="2:9" ht="21" customHeight="1" x14ac:dyDescent="0.3">
      <c r="B662" s="13" t="s">
        <v>222</v>
      </c>
      <c r="C662" s="13" t="s">
        <v>235</v>
      </c>
      <c r="D662" s="13" t="s">
        <v>243</v>
      </c>
      <c r="E662" s="13" t="s">
        <v>79</v>
      </c>
      <c r="F662" s="7">
        <v>45281</v>
      </c>
      <c r="H662" s="2">
        <v>1</v>
      </c>
      <c r="I662" s="217" t="s">
        <v>79</v>
      </c>
    </row>
    <row r="663" spans="2:9" ht="21" customHeight="1" x14ac:dyDescent="0.3">
      <c r="B663" s="13" t="s">
        <v>229</v>
      </c>
      <c r="C663" s="13" t="s">
        <v>232</v>
      </c>
      <c r="D663" s="13" t="s">
        <v>244</v>
      </c>
      <c r="E663" s="13" t="s">
        <v>79</v>
      </c>
      <c r="F663" s="7">
        <v>45314</v>
      </c>
      <c r="H663" s="2">
        <v>1</v>
      </c>
      <c r="I663" s="217" t="s">
        <v>79</v>
      </c>
    </row>
    <row r="664" spans="2:9" ht="21" customHeight="1" x14ac:dyDescent="0.3">
      <c r="B664" s="13" t="s">
        <v>229</v>
      </c>
      <c r="C664" s="13" t="s">
        <v>232</v>
      </c>
      <c r="D664" s="13" t="s">
        <v>244</v>
      </c>
      <c r="E664" s="13" t="s">
        <v>79</v>
      </c>
      <c r="F664" s="7">
        <v>45315</v>
      </c>
      <c r="H664" s="2">
        <v>1</v>
      </c>
      <c r="I664" s="217" t="s">
        <v>79</v>
      </c>
    </row>
    <row r="665" spans="2:9" ht="21" customHeight="1" x14ac:dyDescent="0.3">
      <c r="B665" s="13" t="s">
        <v>219</v>
      </c>
      <c r="C665" s="13" t="s">
        <v>233</v>
      </c>
      <c r="D665" s="13" t="s">
        <v>241</v>
      </c>
      <c r="E665" s="13" t="s">
        <v>79</v>
      </c>
      <c r="F665" s="7">
        <v>45310</v>
      </c>
      <c r="H665" s="2">
        <v>1</v>
      </c>
      <c r="I665" s="217" t="s">
        <v>79</v>
      </c>
    </row>
    <row r="666" spans="2:9" ht="21" customHeight="1" x14ac:dyDescent="0.3">
      <c r="B666" s="13" t="s">
        <v>228</v>
      </c>
      <c r="C666" s="13" t="s">
        <v>233</v>
      </c>
      <c r="D666" s="13" t="s">
        <v>246</v>
      </c>
      <c r="E666" s="13" t="s">
        <v>281</v>
      </c>
      <c r="F666" s="7">
        <v>45303</v>
      </c>
      <c r="H666" s="2">
        <v>0.5</v>
      </c>
      <c r="I666" s="217" t="s">
        <v>281</v>
      </c>
    </row>
    <row r="667" spans="2:9" ht="21" customHeight="1" x14ac:dyDescent="0.3">
      <c r="B667" s="13" t="s">
        <v>289</v>
      </c>
      <c r="C667" s="13" t="s">
        <v>233</v>
      </c>
      <c r="D667" s="13" t="s">
        <v>246</v>
      </c>
      <c r="E667" s="13" t="s">
        <v>79</v>
      </c>
      <c r="F667" s="7">
        <v>45313</v>
      </c>
      <c r="H667" s="2">
        <v>1</v>
      </c>
      <c r="I667" s="217" t="s">
        <v>79</v>
      </c>
    </row>
    <row r="668" spans="2:9" ht="21" customHeight="1" x14ac:dyDescent="0.3">
      <c r="B668" s="13" t="s">
        <v>317</v>
      </c>
      <c r="C668" s="13" t="s">
        <v>233</v>
      </c>
      <c r="D668" s="13" t="s">
        <v>246</v>
      </c>
      <c r="E668" s="13" t="s">
        <v>79</v>
      </c>
      <c r="F668" s="7">
        <v>45306</v>
      </c>
      <c r="H668" s="2">
        <v>1</v>
      </c>
      <c r="I668" s="217" t="s">
        <v>79</v>
      </c>
    </row>
    <row r="669" spans="2:9" ht="21" customHeight="1" x14ac:dyDescent="0.3">
      <c r="B669" s="13" t="s">
        <v>231</v>
      </c>
      <c r="C669" s="13" t="s">
        <v>235</v>
      </c>
      <c r="D669" s="13" t="s">
        <v>246</v>
      </c>
      <c r="E669" s="13" t="s">
        <v>79</v>
      </c>
      <c r="F669" s="7">
        <v>45310</v>
      </c>
      <c r="H669" s="2">
        <v>1</v>
      </c>
      <c r="I669" s="217" t="s">
        <v>79</v>
      </c>
    </row>
    <row r="670" spans="2:9" ht="21" customHeight="1" x14ac:dyDescent="0.3">
      <c r="B670" s="13" t="s">
        <v>336</v>
      </c>
      <c r="C670" s="13" t="s">
        <v>235</v>
      </c>
      <c r="D670" s="13" t="s">
        <v>246</v>
      </c>
      <c r="E670" s="13" t="s">
        <v>79</v>
      </c>
      <c r="F670" s="7">
        <v>45313</v>
      </c>
      <c r="H670" s="2">
        <v>1</v>
      </c>
      <c r="I670" s="217" t="s">
        <v>79</v>
      </c>
    </row>
    <row r="671" spans="2:9" ht="21" customHeight="1" x14ac:dyDescent="0.3">
      <c r="B671" s="13" t="s">
        <v>222</v>
      </c>
      <c r="C671" s="13" t="s">
        <v>235</v>
      </c>
      <c r="D671" s="13" t="s">
        <v>243</v>
      </c>
      <c r="E671" s="13" t="s">
        <v>281</v>
      </c>
      <c r="F671" s="7">
        <v>45296</v>
      </c>
      <c r="H671" s="2">
        <v>0.5</v>
      </c>
      <c r="I671" s="217" t="s">
        <v>281</v>
      </c>
    </row>
    <row r="672" spans="2:9" ht="21" customHeight="1" x14ac:dyDescent="0.3">
      <c r="B672" s="13" t="s">
        <v>222</v>
      </c>
      <c r="C672" s="13" t="s">
        <v>235</v>
      </c>
      <c r="D672" s="13" t="s">
        <v>243</v>
      </c>
      <c r="E672" s="13" t="s">
        <v>281</v>
      </c>
      <c r="F672" s="7">
        <v>45302</v>
      </c>
      <c r="H672" s="2">
        <v>0.5</v>
      </c>
      <c r="I672" s="217" t="s">
        <v>281</v>
      </c>
    </row>
    <row r="673" spans="2:9" ht="21" customHeight="1" x14ac:dyDescent="0.3">
      <c r="B673" s="13" t="s">
        <v>335</v>
      </c>
      <c r="C673" s="13" t="s">
        <v>232</v>
      </c>
      <c r="D673" s="13" t="s">
        <v>244</v>
      </c>
      <c r="E673" s="13" t="s">
        <v>79</v>
      </c>
      <c r="F673" s="7">
        <v>45348</v>
      </c>
      <c r="H673" s="2">
        <v>1</v>
      </c>
      <c r="I673" s="217" t="s">
        <v>258</v>
      </c>
    </row>
    <row r="674" spans="2:9" ht="21" customHeight="1" x14ac:dyDescent="0.3">
      <c r="B674" s="13" t="s">
        <v>219</v>
      </c>
      <c r="C674" s="13" t="s">
        <v>233</v>
      </c>
      <c r="D674" s="13" t="s">
        <v>241</v>
      </c>
      <c r="E674" s="13" t="s">
        <v>79</v>
      </c>
      <c r="F674" s="7">
        <v>45341</v>
      </c>
      <c r="H674" s="2">
        <v>1</v>
      </c>
      <c r="I674" s="217" t="s">
        <v>258</v>
      </c>
    </row>
    <row r="675" spans="2:9" ht="21" customHeight="1" x14ac:dyDescent="0.3">
      <c r="B675" s="13" t="s">
        <v>228</v>
      </c>
      <c r="C675" s="13" t="s">
        <v>233</v>
      </c>
      <c r="D675" s="13" t="s">
        <v>246</v>
      </c>
      <c r="E675" s="13" t="s">
        <v>79</v>
      </c>
      <c r="F675" s="7">
        <v>45343</v>
      </c>
      <c r="H675" s="2">
        <v>1</v>
      </c>
      <c r="I675" s="217" t="s">
        <v>258</v>
      </c>
    </row>
    <row r="676" spans="2:9" ht="21" customHeight="1" x14ac:dyDescent="0.3">
      <c r="B676" s="13" t="s">
        <v>336</v>
      </c>
      <c r="C676" s="13" t="s">
        <v>235</v>
      </c>
      <c r="D676" s="13" t="s">
        <v>246</v>
      </c>
      <c r="E676" s="13" t="s">
        <v>281</v>
      </c>
      <c r="F676" s="7">
        <v>45337</v>
      </c>
      <c r="H676" s="2">
        <v>0.5</v>
      </c>
      <c r="I676" s="217" t="s">
        <v>281</v>
      </c>
    </row>
    <row r="677" spans="2:9" ht="21" customHeight="1" x14ac:dyDescent="0.3">
      <c r="B677" s="13" t="s">
        <v>222</v>
      </c>
      <c r="C677" s="13" t="s">
        <v>235</v>
      </c>
      <c r="D677" s="13" t="s">
        <v>243</v>
      </c>
      <c r="E677" s="13" t="s">
        <v>281</v>
      </c>
      <c r="F677" s="7">
        <v>45342</v>
      </c>
      <c r="H677" s="2">
        <v>0.5</v>
      </c>
      <c r="I677" s="217" t="s">
        <v>281</v>
      </c>
    </row>
    <row r="678" spans="2:9" ht="21" customHeight="1" x14ac:dyDescent="0.3">
      <c r="B678" s="13" t="s">
        <v>348</v>
      </c>
      <c r="C678" s="13" t="s">
        <v>232</v>
      </c>
      <c r="D678" s="13" t="s">
        <v>246</v>
      </c>
      <c r="E678" s="13" t="s">
        <v>281</v>
      </c>
      <c r="F678" s="7">
        <v>45324</v>
      </c>
      <c r="H678" s="2">
        <v>0.5</v>
      </c>
      <c r="I678" s="217" t="s">
        <v>281</v>
      </c>
    </row>
    <row r="679" spans="2:9" ht="21" customHeight="1" x14ac:dyDescent="0.3">
      <c r="B679" s="13" t="s">
        <v>351</v>
      </c>
      <c r="C679" s="13" t="s">
        <v>233</v>
      </c>
      <c r="D679" s="13" t="s">
        <v>246</v>
      </c>
      <c r="E679" s="13" t="s">
        <v>258</v>
      </c>
      <c r="F679" s="7">
        <v>45324</v>
      </c>
      <c r="H679" s="2">
        <v>1</v>
      </c>
      <c r="I679" s="217" t="s">
        <v>258</v>
      </c>
    </row>
    <row r="680" spans="2:9" ht="21" customHeight="1" x14ac:dyDescent="0.3">
      <c r="B680" s="13" t="s">
        <v>289</v>
      </c>
      <c r="C680" s="13" t="s">
        <v>233</v>
      </c>
      <c r="D680" s="13" t="s">
        <v>246</v>
      </c>
      <c r="E680" s="13" t="s">
        <v>258</v>
      </c>
      <c r="F680" s="7">
        <v>45369</v>
      </c>
      <c r="H680" s="2">
        <v>1</v>
      </c>
      <c r="I680" s="217" t="s">
        <v>258</v>
      </c>
    </row>
    <row r="681" spans="2:9" ht="21" customHeight="1" x14ac:dyDescent="0.3">
      <c r="B681" s="13" t="s">
        <v>289</v>
      </c>
      <c r="C681" s="13" t="s">
        <v>233</v>
      </c>
      <c r="D681" s="13" t="s">
        <v>246</v>
      </c>
      <c r="E681" s="13" t="s">
        <v>258</v>
      </c>
      <c r="F681" s="7">
        <v>45370</v>
      </c>
      <c r="H681" s="2">
        <v>1</v>
      </c>
      <c r="I681" s="217" t="s">
        <v>258</v>
      </c>
    </row>
    <row r="682" spans="2:9" ht="21" customHeight="1" x14ac:dyDescent="0.3">
      <c r="B682" s="13" t="s">
        <v>289</v>
      </c>
      <c r="C682" s="13" t="s">
        <v>233</v>
      </c>
      <c r="D682" s="13" t="s">
        <v>246</v>
      </c>
      <c r="E682" s="13" t="s">
        <v>258</v>
      </c>
      <c r="F682" s="7">
        <v>45371</v>
      </c>
      <c r="H682" s="2">
        <v>1</v>
      </c>
      <c r="I682" s="217" t="s">
        <v>258</v>
      </c>
    </row>
    <row r="683" spans="2:9" ht="21" customHeight="1" x14ac:dyDescent="0.3">
      <c r="B683" s="13" t="s">
        <v>289</v>
      </c>
      <c r="C683" s="13" t="s">
        <v>233</v>
      </c>
      <c r="D683" s="13" t="s">
        <v>246</v>
      </c>
      <c r="E683" s="13" t="s">
        <v>258</v>
      </c>
      <c r="F683" s="7">
        <v>45372</v>
      </c>
      <c r="H683" s="2">
        <v>1</v>
      </c>
      <c r="I683" s="217" t="s">
        <v>258</v>
      </c>
    </row>
    <row r="684" spans="2:9" ht="21" customHeight="1" x14ac:dyDescent="0.3">
      <c r="B684" s="13" t="s">
        <v>289</v>
      </c>
      <c r="C684" s="13" t="s">
        <v>233</v>
      </c>
      <c r="D684" s="13" t="s">
        <v>246</v>
      </c>
      <c r="E684" s="13" t="s">
        <v>258</v>
      </c>
      <c r="F684" s="7">
        <v>45373</v>
      </c>
      <c r="H684" s="2">
        <v>1</v>
      </c>
      <c r="I684" s="217" t="s">
        <v>258</v>
      </c>
    </row>
    <row r="685" spans="2:9" ht="21" customHeight="1" x14ac:dyDescent="0.3">
      <c r="B685" s="13" t="s">
        <v>289</v>
      </c>
      <c r="C685" s="13" t="s">
        <v>233</v>
      </c>
      <c r="D685" s="13" t="s">
        <v>246</v>
      </c>
      <c r="E685" s="13" t="s">
        <v>258</v>
      </c>
      <c r="F685" s="7">
        <v>45376</v>
      </c>
      <c r="H685" s="2">
        <v>1</v>
      </c>
      <c r="I685" s="217" t="s">
        <v>258</v>
      </c>
    </row>
    <row r="686" spans="2:9" ht="21" customHeight="1" x14ac:dyDescent="0.3">
      <c r="B686" s="13" t="s">
        <v>289</v>
      </c>
      <c r="C686" s="13" t="s">
        <v>233</v>
      </c>
      <c r="D686" s="13" t="s">
        <v>246</v>
      </c>
      <c r="E686" s="13" t="s">
        <v>258</v>
      </c>
      <c r="F686" s="7">
        <v>45377</v>
      </c>
      <c r="H686" s="2">
        <v>1</v>
      </c>
      <c r="I686" s="217" t="s">
        <v>258</v>
      </c>
    </row>
    <row r="687" spans="2:9" ht="21" customHeight="1" x14ac:dyDescent="0.3">
      <c r="B687" s="13" t="s">
        <v>289</v>
      </c>
      <c r="C687" s="13" t="s">
        <v>233</v>
      </c>
      <c r="D687" s="13" t="s">
        <v>246</v>
      </c>
      <c r="E687" s="13" t="s">
        <v>258</v>
      </c>
      <c r="F687" s="7">
        <v>45378</v>
      </c>
      <c r="H687" s="2">
        <v>1</v>
      </c>
      <c r="I687" s="217" t="s">
        <v>258</v>
      </c>
    </row>
    <row r="688" spans="2:9" ht="21" customHeight="1" x14ac:dyDescent="0.3">
      <c r="B688" s="13" t="s">
        <v>289</v>
      </c>
      <c r="C688" s="13" t="s">
        <v>233</v>
      </c>
      <c r="D688" s="13" t="s">
        <v>246</v>
      </c>
      <c r="E688" s="13" t="s">
        <v>258</v>
      </c>
      <c r="F688" s="7">
        <v>45379</v>
      </c>
      <c r="H688" s="2">
        <v>1</v>
      </c>
      <c r="I688" s="217" t="s">
        <v>258</v>
      </c>
    </row>
    <row r="689" spans="2:9" ht="21" customHeight="1" x14ac:dyDescent="0.3">
      <c r="B689" s="13" t="s">
        <v>289</v>
      </c>
      <c r="C689" s="13" t="s">
        <v>233</v>
      </c>
      <c r="D689" s="13" t="s">
        <v>246</v>
      </c>
      <c r="E689" s="13" t="s">
        <v>258</v>
      </c>
      <c r="F689" s="7">
        <v>45380</v>
      </c>
      <c r="H689" s="2">
        <v>1</v>
      </c>
      <c r="I689" s="217" t="s">
        <v>258</v>
      </c>
    </row>
    <row r="690" spans="2:9" ht="21" customHeight="1" x14ac:dyDescent="0.3">
      <c r="B690" s="13" t="s">
        <v>317</v>
      </c>
      <c r="C690" s="13" t="s">
        <v>233</v>
      </c>
      <c r="D690" s="13" t="s">
        <v>246</v>
      </c>
      <c r="E690" s="13" t="s">
        <v>258</v>
      </c>
      <c r="F690" s="7">
        <v>45369</v>
      </c>
      <c r="H690" s="2">
        <v>1</v>
      </c>
      <c r="I690" s="217" t="s">
        <v>258</v>
      </c>
    </row>
    <row r="691" spans="2:9" ht="21" customHeight="1" x14ac:dyDescent="0.3">
      <c r="B691" s="13" t="s">
        <v>317</v>
      </c>
      <c r="C691" s="13" t="s">
        <v>233</v>
      </c>
      <c r="D691" s="13" t="s">
        <v>246</v>
      </c>
      <c r="E691" s="13" t="s">
        <v>258</v>
      </c>
      <c r="F691" s="7">
        <v>45370</v>
      </c>
      <c r="H691" s="2">
        <v>1</v>
      </c>
      <c r="I691" s="217" t="s">
        <v>258</v>
      </c>
    </row>
    <row r="692" spans="2:9" ht="21" customHeight="1" x14ac:dyDescent="0.3">
      <c r="B692" s="13" t="s">
        <v>317</v>
      </c>
      <c r="C692" s="13" t="s">
        <v>233</v>
      </c>
      <c r="D692" s="13" t="s">
        <v>246</v>
      </c>
      <c r="E692" s="13" t="s">
        <v>258</v>
      </c>
      <c r="F692" s="7">
        <v>45371</v>
      </c>
      <c r="H692" s="2">
        <v>1</v>
      </c>
      <c r="I692" s="217" t="s">
        <v>258</v>
      </c>
    </row>
    <row r="693" spans="2:9" ht="21" customHeight="1" x14ac:dyDescent="0.3">
      <c r="B693" s="13" t="s">
        <v>317</v>
      </c>
      <c r="C693" s="13" t="s">
        <v>233</v>
      </c>
      <c r="D693" s="13" t="s">
        <v>246</v>
      </c>
      <c r="E693" s="13" t="s">
        <v>258</v>
      </c>
      <c r="F693" s="7">
        <v>45372</v>
      </c>
      <c r="H693" s="2">
        <v>1</v>
      </c>
      <c r="I693" s="217" t="s">
        <v>258</v>
      </c>
    </row>
    <row r="694" spans="2:9" ht="21" customHeight="1" x14ac:dyDescent="0.3">
      <c r="B694" s="13" t="s">
        <v>317</v>
      </c>
      <c r="C694" s="13" t="s">
        <v>233</v>
      </c>
      <c r="D694" s="13" t="s">
        <v>246</v>
      </c>
      <c r="E694" s="13" t="s">
        <v>258</v>
      </c>
      <c r="F694" s="7">
        <v>45373</v>
      </c>
      <c r="H694" s="2">
        <v>1</v>
      </c>
      <c r="I694" s="217" t="s">
        <v>258</v>
      </c>
    </row>
    <row r="695" spans="2:9" ht="21" customHeight="1" x14ac:dyDescent="0.3">
      <c r="B695" s="13" t="s">
        <v>317</v>
      </c>
      <c r="C695" s="13" t="s">
        <v>233</v>
      </c>
      <c r="D695" s="13" t="s">
        <v>246</v>
      </c>
      <c r="E695" s="13" t="s">
        <v>258</v>
      </c>
      <c r="F695" s="7">
        <v>45376</v>
      </c>
      <c r="H695" s="2">
        <v>1</v>
      </c>
      <c r="I695" s="217" t="s">
        <v>258</v>
      </c>
    </row>
    <row r="696" spans="2:9" ht="21" customHeight="1" x14ac:dyDescent="0.3">
      <c r="B696" s="13" t="s">
        <v>317</v>
      </c>
      <c r="C696" s="13" t="s">
        <v>233</v>
      </c>
      <c r="D696" s="13" t="s">
        <v>246</v>
      </c>
      <c r="E696" s="13" t="s">
        <v>258</v>
      </c>
      <c r="F696" s="7">
        <v>45377</v>
      </c>
      <c r="H696" s="2">
        <v>1</v>
      </c>
      <c r="I696" s="217" t="s">
        <v>258</v>
      </c>
    </row>
    <row r="697" spans="2:9" ht="21" customHeight="1" x14ac:dyDescent="0.3">
      <c r="B697" s="13" t="s">
        <v>317</v>
      </c>
      <c r="C697" s="13" t="s">
        <v>233</v>
      </c>
      <c r="D697" s="13" t="s">
        <v>246</v>
      </c>
      <c r="E697" s="13" t="s">
        <v>258</v>
      </c>
      <c r="F697" s="7">
        <v>45378</v>
      </c>
      <c r="H697" s="2">
        <v>1</v>
      </c>
      <c r="I697" s="217" t="s">
        <v>258</v>
      </c>
    </row>
    <row r="698" spans="2:9" ht="21" customHeight="1" x14ac:dyDescent="0.3">
      <c r="B698" s="13" t="s">
        <v>317</v>
      </c>
      <c r="C698" s="13" t="s">
        <v>233</v>
      </c>
      <c r="D698" s="13" t="s">
        <v>246</v>
      </c>
      <c r="E698" s="13" t="s">
        <v>258</v>
      </c>
      <c r="F698" s="7">
        <v>45379</v>
      </c>
      <c r="H698" s="2">
        <v>1</v>
      </c>
      <c r="I698" s="217" t="s">
        <v>258</v>
      </c>
    </row>
    <row r="699" spans="2:9" ht="21" customHeight="1" x14ac:dyDescent="0.3">
      <c r="B699" s="13" t="s">
        <v>317</v>
      </c>
      <c r="C699" s="13" t="s">
        <v>233</v>
      </c>
      <c r="D699" s="13" t="s">
        <v>246</v>
      </c>
      <c r="E699" s="13" t="s">
        <v>258</v>
      </c>
      <c r="F699" s="7">
        <v>45380</v>
      </c>
      <c r="H699" s="2">
        <v>1</v>
      </c>
      <c r="I699" s="217" t="s">
        <v>258</v>
      </c>
    </row>
    <row r="700" spans="2:9" ht="21" customHeight="1" x14ac:dyDescent="0.3">
      <c r="B700" s="13" t="s">
        <v>336</v>
      </c>
      <c r="C700" s="13" t="s">
        <v>235</v>
      </c>
      <c r="D700" s="13" t="s">
        <v>246</v>
      </c>
      <c r="E700" s="13" t="s">
        <v>258</v>
      </c>
      <c r="F700" s="7">
        <v>45369</v>
      </c>
      <c r="H700" s="2">
        <v>1</v>
      </c>
      <c r="I700" s="217" t="s">
        <v>258</v>
      </c>
    </row>
    <row r="701" spans="2:9" ht="21" customHeight="1" x14ac:dyDescent="0.3">
      <c r="B701" s="13" t="s">
        <v>222</v>
      </c>
      <c r="C701" s="13" t="s">
        <v>235</v>
      </c>
      <c r="D701" s="13" t="s">
        <v>243</v>
      </c>
      <c r="E701" s="13" t="s">
        <v>258</v>
      </c>
      <c r="F701" s="7">
        <v>45362</v>
      </c>
      <c r="H701" s="2">
        <v>1</v>
      </c>
      <c r="I701" s="217" t="s">
        <v>258</v>
      </c>
    </row>
    <row r="702" spans="2:9" ht="21" customHeight="1" x14ac:dyDescent="0.3">
      <c r="B702" s="13" t="s">
        <v>222</v>
      </c>
      <c r="C702" s="13" t="s">
        <v>235</v>
      </c>
      <c r="D702" s="13" t="s">
        <v>243</v>
      </c>
      <c r="E702" s="13" t="s">
        <v>258</v>
      </c>
      <c r="F702" s="7">
        <v>45363</v>
      </c>
      <c r="H702" s="2">
        <v>1</v>
      </c>
      <c r="I702" s="217" t="s">
        <v>258</v>
      </c>
    </row>
    <row r="703" spans="2:9" ht="21" customHeight="1" x14ac:dyDescent="0.3">
      <c r="B703" s="13" t="s">
        <v>222</v>
      </c>
      <c r="C703" s="13" t="s">
        <v>235</v>
      </c>
      <c r="D703" s="13" t="s">
        <v>243</v>
      </c>
      <c r="E703" s="13" t="s">
        <v>258</v>
      </c>
      <c r="F703" s="7">
        <v>45359</v>
      </c>
      <c r="H703" s="2">
        <v>0.5</v>
      </c>
      <c r="I703" s="217" t="s">
        <v>281</v>
      </c>
    </row>
    <row r="704" spans="2:9" ht="21" customHeight="1" x14ac:dyDescent="0.3">
      <c r="B704" s="13" t="s">
        <v>348</v>
      </c>
      <c r="C704" s="13" t="s">
        <v>232</v>
      </c>
      <c r="D704" s="13" t="s">
        <v>246</v>
      </c>
      <c r="E704" s="13" t="s">
        <v>258</v>
      </c>
      <c r="F704" s="7">
        <v>45366</v>
      </c>
      <c r="H704" s="2">
        <v>1</v>
      </c>
      <c r="I704" s="217" t="s">
        <v>258</v>
      </c>
    </row>
    <row r="705" spans="2:9" ht="21" customHeight="1" x14ac:dyDescent="0.3">
      <c r="B705" s="13" t="s">
        <v>229</v>
      </c>
      <c r="C705" s="13" t="s">
        <v>232</v>
      </c>
      <c r="D705" s="13" t="s">
        <v>244</v>
      </c>
      <c r="E705" s="13" t="s">
        <v>258</v>
      </c>
      <c r="F705" s="7">
        <v>45376</v>
      </c>
      <c r="H705" s="2">
        <v>1</v>
      </c>
      <c r="I705" s="217" t="s">
        <v>258</v>
      </c>
    </row>
    <row r="706" spans="2:9" ht="21" customHeight="1" x14ac:dyDescent="0.3">
      <c r="B706" s="218" t="s">
        <v>219</v>
      </c>
      <c r="C706" s="13" t="s">
        <v>233</v>
      </c>
      <c r="D706" s="13" t="s">
        <v>241</v>
      </c>
      <c r="E706" s="13" t="s">
        <v>258</v>
      </c>
      <c r="F706" s="7">
        <v>45363</v>
      </c>
      <c r="H706" s="2">
        <v>0.5</v>
      </c>
      <c r="I706" s="217" t="s">
        <v>281</v>
      </c>
    </row>
    <row r="707" spans="2:9" ht="21" customHeight="1" x14ac:dyDescent="0.3">
      <c r="B707" s="218" t="s">
        <v>219</v>
      </c>
      <c r="C707" s="13" t="s">
        <v>233</v>
      </c>
      <c r="D707" s="13" t="s">
        <v>241</v>
      </c>
      <c r="E707" s="13" t="s">
        <v>258</v>
      </c>
      <c r="F707" s="7">
        <v>45373</v>
      </c>
      <c r="H707" s="2">
        <v>0.5</v>
      </c>
      <c r="I707" s="217" t="s">
        <v>281</v>
      </c>
    </row>
    <row r="708" spans="2:9" ht="21" customHeight="1" x14ac:dyDescent="0.3">
      <c r="B708" s="13" t="s">
        <v>229</v>
      </c>
      <c r="C708" s="13" t="s">
        <v>232</v>
      </c>
      <c r="D708" s="13" t="s">
        <v>244</v>
      </c>
      <c r="E708" s="13" t="s">
        <v>258</v>
      </c>
      <c r="F708" s="7">
        <v>45404</v>
      </c>
      <c r="H708" s="2">
        <v>1</v>
      </c>
      <c r="I708" s="217" t="s">
        <v>258</v>
      </c>
    </row>
    <row r="709" spans="2:9" ht="21" customHeight="1" x14ac:dyDescent="0.3">
      <c r="B709" s="13" t="s">
        <v>291</v>
      </c>
      <c r="C709" s="13" t="s">
        <v>232</v>
      </c>
      <c r="D709" s="13" t="s">
        <v>241</v>
      </c>
      <c r="E709" s="13" t="s">
        <v>281</v>
      </c>
      <c r="F709" s="7">
        <v>45401</v>
      </c>
      <c r="H709" s="2">
        <v>0.5</v>
      </c>
      <c r="I709" s="217" t="s">
        <v>281</v>
      </c>
    </row>
    <row r="710" spans="2:9" ht="21" customHeight="1" x14ac:dyDescent="0.3">
      <c r="B710" s="13" t="s">
        <v>337</v>
      </c>
      <c r="C710" s="13" t="s">
        <v>232</v>
      </c>
      <c r="D710" s="13" t="s">
        <v>244</v>
      </c>
      <c r="E710" s="13" t="s">
        <v>258</v>
      </c>
      <c r="F710" s="7">
        <v>45393</v>
      </c>
      <c r="H710" s="2">
        <v>1</v>
      </c>
      <c r="I710" s="217" t="s">
        <v>258</v>
      </c>
    </row>
    <row r="711" spans="2:9" ht="21" customHeight="1" x14ac:dyDescent="0.3">
      <c r="B711" s="218" t="s">
        <v>219</v>
      </c>
      <c r="C711" s="13" t="s">
        <v>233</v>
      </c>
      <c r="D711" s="13" t="s">
        <v>241</v>
      </c>
      <c r="E711" s="13" t="s">
        <v>258</v>
      </c>
      <c r="F711" s="7">
        <v>45411</v>
      </c>
      <c r="H711" s="2">
        <v>1</v>
      </c>
      <c r="I711" s="217" t="s">
        <v>258</v>
      </c>
    </row>
    <row r="712" spans="2:9" ht="21" customHeight="1" x14ac:dyDescent="0.3">
      <c r="B712" s="218" t="s">
        <v>219</v>
      </c>
      <c r="C712" s="13" t="s">
        <v>233</v>
      </c>
      <c r="D712" s="13" t="s">
        <v>241</v>
      </c>
      <c r="E712" s="13" t="s">
        <v>258</v>
      </c>
      <c r="F712" s="7">
        <v>45412</v>
      </c>
      <c r="H712" s="2">
        <v>1</v>
      </c>
      <c r="I712" s="217" t="s">
        <v>258</v>
      </c>
    </row>
    <row r="713" spans="2:9" ht="21" customHeight="1" x14ac:dyDescent="0.3">
      <c r="B713" s="13" t="s">
        <v>228</v>
      </c>
      <c r="C713" s="13" t="s">
        <v>233</v>
      </c>
      <c r="D713" s="13" t="s">
        <v>246</v>
      </c>
      <c r="E713" s="13" t="s">
        <v>258</v>
      </c>
      <c r="F713" s="7">
        <v>45397</v>
      </c>
      <c r="H713" s="2">
        <v>1</v>
      </c>
      <c r="I713" s="217" t="s">
        <v>258</v>
      </c>
    </row>
    <row r="714" spans="2:9" ht="21" customHeight="1" x14ac:dyDescent="0.3">
      <c r="B714" s="13" t="s">
        <v>231</v>
      </c>
      <c r="C714" s="13" t="s">
        <v>235</v>
      </c>
      <c r="D714" s="13" t="s">
        <v>246</v>
      </c>
      <c r="E714" s="13" t="s">
        <v>281</v>
      </c>
      <c r="F714" s="7">
        <v>45394</v>
      </c>
      <c r="H714" s="2">
        <v>0.5</v>
      </c>
      <c r="I714" s="217" t="s">
        <v>281</v>
      </c>
    </row>
    <row r="715" spans="2:9" ht="21" customHeight="1" x14ac:dyDescent="0.3">
      <c r="B715" s="13" t="s">
        <v>336</v>
      </c>
      <c r="C715" s="13" t="s">
        <v>235</v>
      </c>
      <c r="D715" s="13" t="s">
        <v>246</v>
      </c>
      <c r="E715" s="13" t="s">
        <v>258</v>
      </c>
      <c r="F715" s="7">
        <v>45399</v>
      </c>
      <c r="H715" s="2">
        <v>1</v>
      </c>
      <c r="I715" s="217" t="s">
        <v>258</v>
      </c>
    </row>
    <row r="716" spans="2:9" ht="21" customHeight="1" x14ac:dyDescent="0.3">
      <c r="B716" s="13" t="s">
        <v>222</v>
      </c>
      <c r="C716" s="13" t="s">
        <v>235</v>
      </c>
      <c r="D716" s="13" t="s">
        <v>243</v>
      </c>
      <c r="E716" s="13" t="s">
        <v>281</v>
      </c>
      <c r="F716" s="7">
        <v>45401</v>
      </c>
      <c r="H716" s="2">
        <v>0.5</v>
      </c>
      <c r="I716" s="217" t="s">
        <v>281</v>
      </c>
    </row>
    <row r="717" spans="2:9" ht="21" customHeight="1" x14ac:dyDescent="0.3">
      <c r="B717" s="13" t="s">
        <v>348</v>
      </c>
      <c r="C717" s="13" t="s">
        <v>232</v>
      </c>
      <c r="D717" s="13" t="s">
        <v>246</v>
      </c>
      <c r="E717" s="13" t="s">
        <v>258</v>
      </c>
      <c r="F717" s="7">
        <v>45404</v>
      </c>
      <c r="H717" s="2">
        <v>1</v>
      </c>
      <c r="I717" s="217" t="s">
        <v>258</v>
      </c>
    </row>
    <row r="718" spans="2:9" ht="21" customHeight="1" x14ac:dyDescent="0.3">
      <c r="B718" s="13" t="s">
        <v>351</v>
      </c>
      <c r="C718" s="13" t="s">
        <v>233</v>
      </c>
      <c r="D718" s="13" t="s">
        <v>246</v>
      </c>
      <c r="E718" s="13" t="s">
        <v>258</v>
      </c>
      <c r="F718" s="7">
        <v>45404</v>
      </c>
      <c r="H718" s="2">
        <v>1</v>
      </c>
      <c r="I718" s="217" t="s">
        <v>258</v>
      </c>
    </row>
    <row r="719" spans="2:9" ht="21" customHeight="1" x14ac:dyDescent="0.3">
      <c r="B719" s="13" t="s">
        <v>229</v>
      </c>
      <c r="C719" s="13" t="s">
        <v>232</v>
      </c>
      <c r="D719" s="13" t="s">
        <v>244</v>
      </c>
      <c r="E719" s="13" t="s">
        <v>258</v>
      </c>
      <c r="F719" s="7">
        <v>45432</v>
      </c>
      <c r="H719" s="2">
        <v>1</v>
      </c>
      <c r="I719" s="217" t="s">
        <v>258</v>
      </c>
    </row>
    <row r="720" spans="2:9" ht="21" customHeight="1" x14ac:dyDescent="0.3">
      <c r="B720" s="13" t="s">
        <v>267</v>
      </c>
      <c r="C720" s="13" t="s">
        <v>232</v>
      </c>
      <c r="D720" s="13" t="s">
        <v>241</v>
      </c>
      <c r="E720" s="13" t="s">
        <v>258</v>
      </c>
      <c r="F720" s="7">
        <v>45439</v>
      </c>
      <c r="H720" s="2">
        <v>1</v>
      </c>
      <c r="I720" s="217" t="s">
        <v>258</v>
      </c>
    </row>
    <row r="721" spans="2:9" ht="21" customHeight="1" x14ac:dyDescent="0.3">
      <c r="B721" s="13" t="s">
        <v>228</v>
      </c>
      <c r="C721" s="13" t="s">
        <v>233</v>
      </c>
      <c r="D721" s="13" t="s">
        <v>246</v>
      </c>
      <c r="E721" s="13" t="s">
        <v>281</v>
      </c>
      <c r="F721" s="7">
        <v>45415</v>
      </c>
      <c r="H721" s="2">
        <v>0.5</v>
      </c>
      <c r="I721" s="217" t="s">
        <v>281</v>
      </c>
    </row>
    <row r="722" spans="2:9" ht="21" customHeight="1" x14ac:dyDescent="0.3">
      <c r="B722" s="13" t="s">
        <v>231</v>
      </c>
      <c r="C722" s="13" t="s">
        <v>235</v>
      </c>
      <c r="D722" s="13" t="s">
        <v>246</v>
      </c>
      <c r="E722" s="13" t="s">
        <v>281</v>
      </c>
      <c r="F722" s="7">
        <v>45436</v>
      </c>
      <c r="H722" s="2">
        <v>0.5</v>
      </c>
      <c r="I722" s="217" t="s">
        <v>281</v>
      </c>
    </row>
    <row r="723" spans="2:9" ht="21" customHeight="1" x14ac:dyDescent="0.3">
      <c r="B723" s="13" t="s">
        <v>336</v>
      </c>
      <c r="C723" s="13" t="s">
        <v>235</v>
      </c>
      <c r="D723" s="13" t="s">
        <v>246</v>
      </c>
      <c r="E723" s="13" t="s">
        <v>281</v>
      </c>
      <c r="F723" s="7">
        <v>45419</v>
      </c>
      <c r="H723" s="2">
        <v>0.5</v>
      </c>
      <c r="I723" s="217" t="s">
        <v>281</v>
      </c>
    </row>
    <row r="724" spans="2:9" ht="21" customHeight="1" x14ac:dyDescent="0.3">
      <c r="B724" s="13" t="s">
        <v>222</v>
      </c>
      <c r="C724" s="13" t="s">
        <v>235</v>
      </c>
      <c r="D724" s="13" t="s">
        <v>243</v>
      </c>
      <c r="E724" s="13" t="s">
        <v>281</v>
      </c>
      <c r="F724" s="7">
        <v>45415</v>
      </c>
      <c r="H724" s="2">
        <v>0.5</v>
      </c>
      <c r="I724" s="217" t="s">
        <v>281</v>
      </c>
    </row>
    <row r="725" spans="2:9" ht="21" customHeight="1" x14ac:dyDescent="0.3">
      <c r="B725" s="13" t="s">
        <v>222</v>
      </c>
      <c r="C725" s="13" t="s">
        <v>235</v>
      </c>
      <c r="D725" s="13" t="s">
        <v>243</v>
      </c>
      <c r="E725" s="13" t="s">
        <v>281</v>
      </c>
      <c r="F725" s="7">
        <v>45426</v>
      </c>
      <c r="H725" s="2">
        <v>0.5</v>
      </c>
      <c r="I725" s="217" t="s">
        <v>281</v>
      </c>
    </row>
    <row r="726" spans="2:9" ht="21" customHeight="1" x14ac:dyDescent="0.3">
      <c r="B726" s="13" t="s">
        <v>222</v>
      </c>
      <c r="C726" s="13" t="s">
        <v>235</v>
      </c>
      <c r="D726" s="13" t="s">
        <v>243</v>
      </c>
      <c r="E726" s="13" t="s">
        <v>281</v>
      </c>
      <c r="F726" s="7">
        <v>45439</v>
      </c>
      <c r="H726" s="2">
        <v>0.5</v>
      </c>
      <c r="I726" s="217" t="s">
        <v>281</v>
      </c>
    </row>
    <row r="727" spans="2:9" ht="21" customHeight="1" x14ac:dyDescent="0.3">
      <c r="B727" s="13" t="s">
        <v>348</v>
      </c>
      <c r="C727" s="13" t="s">
        <v>232</v>
      </c>
      <c r="D727" s="13" t="s">
        <v>246</v>
      </c>
      <c r="E727" s="13" t="s">
        <v>258</v>
      </c>
      <c r="F727" s="7">
        <v>45443</v>
      </c>
      <c r="H727" s="2">
        <v>1</v>
      </c>
      <c r="I727" s="217" t="s">
        <v>258</v>
      </c>
    </row>
    <row r="728" spans="2:9" ht="21" customHeight="1" x14ac:dyDescent="0.3">
      <c r="B728" s="13" t="s">
        <v>222</v>
      </c>
      <c r="C728" s="13" t="s">
        <v>235</v>
      </c>
      <c r="D728" s="13" t="s">
        <v>243</v>
      </c>
      <c r="E728" s="13" t="s">
        <v>258</v>
      </c>
      <c r="F728" s="7">
        <v>45443</v>
      </c>
      <c r="H728" s="2">
        <v>1</v>
      </c>
      <c r="I728" s="217" t="s">
        <v>258</v>
      </c>
    </row>
    <row r="729" spans="2:9" ht="21" customHeight="1" x14ac:dyDescent="0.3">
      <c r="B729" s="13" t="s">
        <v>352</v>
      </c>
      <c r="C729" s="13" t="s">
        <v>233</v>
      </c>
      <c r="D729" s="13" t="s">
        <v>246</v>
      </c>
      <c r="E729" s="13" t="s">
        <v>258</v>
      </c>
      <c r="F729" s="7">
        <v>45443</v>
      </c>
      <c r="H729" s="2">
        <v>1</v>
      </c>
      <c r="I729" s="217" t="s">
        <v>258</v>
      </c>
    </row>
    <row r="730" spans="2:9" ht="21" customHeight="1" x14ac:dyDescent="0.3">
      <c r="B730" s="13" t="s">
        <v>267</v>
      </c>
      <c r="C730" s="13" t="s">
        <v>232</v>
      </c>
      <c r="D730" s="13" t="s">
        <v>241</v>
      </c>
      <c r="E730" s="13" t="s">
        <v>258</v>
      </c>
      <c r="F730" s="7">
        <v>45467</v>
      </c>
      <c r="H730" s="2">
        <v>1</v>
      </c>
      <c r="I730" s="217" t="s">
        <v>258</v>
      </c>
    </row>
    <row r="731" spans="2:9" ht="21" customHeight="1" x14ac:dyDescent="0.3">
      <c r="B731" s="13" t="s">
        <v>228</v>
      </c>
      <c r="C731" s="13" t="s">
        <v>233</v>
      </c>
      <c r="D731" s="13" t="s">
        <v>246</v>
      </c>
      <c r="E731" s="13" t="s">
        <v>281</v>
      </c>
      <c r="F731" s="7">
        <v>45456</v>
      </c>
      <c r="H731" s="2">
        <v>0.5</v>
      </c>
      <c r="I731" s="217" t="s">
        <v>281</v>
      </c>
    </row>
    <row r="732" spans="2:9" ht="21" customHeight="1" x14ac:dyDescent="0.3">
      <c r="B732" s="13" t="s">
        <v>228</v>
      </c>
      <c r="C732" s="13" t="s">
        <v>233</v>
      </c>
      <c r="D732" s="13" t="s">
        <v>246</v>
      </c>
      <c r="E732" s="13" t="s">
        <v>281</v>
      </c>
      <c r="F732" s="7">
        <v>45464</v>
      </c>
      <c r="H732" s="2">
        <v>0.5</v>
      </c>
      <c r="I732" s="217" t="s">
        <v>281</v>
      </c>
    </row>
    <row r="733" spans="2:9" ht="21" customHeight="1" x14ac:dyDescent="0.3">
      <c r="B733" s="13" t="s">
        <v>351</v>
      </c>
      <c r="C733" s="13" t="s">
        <v>233</v>
      </c>
      <c r="D733" s="13" t="s">
        <v>246</v>
      </c>
      <c r="E733" s="13" t="s">
        <v>258</v>
      </c>
      <c r="F733" s="7">
        <v>45464</v>
      </c>
      <c r="H733" s="2">
        <v>1</v>
      </c>
      <c r="I733" s="217" t="s">
        <v>258</v>
      </c>
    </row>
    <row r="734" spans="2:9" ht="21" customHeight="1" x14ac:dyDescent="0.3">
      <c r="B734" s="13" t="s">
        <v>351</v>
      </c>
      <c r="C734" s="13" t="s">
        <v>233</v>
      </c>
      <c r="D734" s="13" t="s">
        <v>246</v>
      </c>
      <c r="E734" s="13" t="s">
        <v>281</v>
      </c>
      <c r="F734" s="7">
        <v>45468</v>
      </c>
      <c r="H734" s="2">
        <v>0.5</v>
      </c>
      <c r="I734" s="217" t="s">
        <v>281</v>
      </c>
    </row>
    <row r="735" spans="2:9" ht="21" customHeight="1" x14ac:dyDescent="0.3">
      <c r="B735" s="13" t="s">
        <v>351</v>
      </c>
      <c r="C735" s="13" t="s">
        <v>233</v>
      </c>
      <c r="D735" s="13" t="s">
        <v>246</v>
      </c>
      <c r="E735" s="13" t="s">
        <v>258</v>
      </c>
      <c r="F735" s="7">
        <v>45469</v>
      </c>
      <c r="H735" s="2">
        <v>1</v>
      </c>
      <c r="I735" s="217" t="s">
        <v>258</v>
      </c>
    </row>
    <row r="736" spans="2:9" ht="21" customHeight="1" x14ac:dyDescent="0.3">
      <c r="B736" s="13" t="s">
        <v>353</v>
      </c>
      <c r="C736" s="13" t="s">
        <v>233</v>
      </c>
      <c r="D736" s="13" t="s">
        <v>246</v>
      </c>
      <c r="E736" s="13" t="s">
        <v>86</v>
      </c>
      <c r="F736" s="7">
        <v>45468</v>
      </c>
      <c r="H736" s="2">
        <v>1</v>
      </c>
      <c r="I736" s="217" t="s">
        <v>355</v>
      </c>
    </row>
    <row r="737" spans="2:9" ht="21" customHeight="1" x14ac:dyDescent="0.3">
      <c r="B737" s="219" t="s">
        <v>353</v>
      </c>
      <c r="C737" s="219" t="s">
        <v>233</v>
      </c>
      <c r="D737" s="219" t="s">
        <v>246</v>
      </c>
      <c r="E737" s="13" t="s">
        <v>86</v>
      </c>
      <c r="F737" s="7">
        <v>45469</v>
      </c>
      <c r="H737" s="2">
        <v>1</v>
      </c>
      <c r="I737" s="220" t="s">
        <v>355</v>
      </c>
    </row>
    <row r="738" spans="2:9" ht="21" customHeight="1" x14ac:dyDescent="0.3">
      <c r="B738" s="219" t="s">
        <v>353</v>
      </c>
      <c r="C738" s="219" t="s">
        <v>233</v>
      </c>
      <c r="D738" s="219" t="s">
        <v>246</v>
      </c>
      <c r="E738" s="13" t="s">
        <v>86</v>
      </c>
      <c r="F738" s="7">
        <v>45470</v>
      </c>
      <c r="H738" s="2">
        <v>1</v>
      </c>
      <c r="I738" s="220" t="s">
        <v>355</v>
      </c>
    </row>
    <row r="739" spans="2:9" ht="21" customHeight="1" x14ac:dyDescent="0.3">
      <c r="B739" s="13" t="s">
        <v>222</v>
      </c>
      <c r="C739" s="13" t="s">
        <v>235</v>
      </c>
      <c r="D739" s="13" t="s">
        <v>243</v>
      </c>
      <c r="E739" s="13" t="s">
        <v>258</v>
      </c>
      <c r="F739" s="7">
        <v>45457</v>
      </c>
      <c r="H739" s="2">
        <v>1</v>
      </c>
      <c r="I739" s="217" t="s">
        <v>258</v>
      </c>
    </row>
    <row r="740" spans="2:9" ht="21" customHeight="1" x14ac:dyDescent="0.3">
      <c r="B740" s="13" t="s">
        <v>222</v>
      </c>
      <c r="C740" s="13" t="s">
        <v>235</v>
      </c>
      <c r="D740" s="13" t="s">
        <v>243</v>
      </c>
      <c r="E740" s="13" t="s">
        <v>281</v>
      </c>
      <c r="F740" s="7">
        <v>45470</v>
      </c>
      <c r="H740" s="2">
        <v>0.5</v>
      </c>
      <c r="I740" s="217" t="s">
        <v>281</v>
      </c>
    </row>
    <row r="741" spans="2:9" ht="21" customHeight="1" x14ac:dyDescent="0.3">
      <c r="B741" s="13" t="s">
        <v>231</v>
      </c>
      <c r="C741" s="13" t="s">
        <v>235</v>
      </c>
      <c r="D741" s="13" t="s">
        <v>246</v>
      </c>
      <c r="E741" s="13" t="s">
        <v>281</v>
      </c>
      <c r="F741" s="7">
        <v>45448</v>
      </c>
      <c r="H741" s="2">
        <v>0.5</v>
      </c>
      <c r="I741" s="217" t="s">
        <v>281</v>
      </c>
    </row>
    <row r="742" spans="2:9" ht="21" customHeight="1" x14ac:dyDescent="0.3">
      <c r="B742" s="13" t="s">
        <v>231</v>
      </c>
      <c r="C742" s="13" t="s">
        <v>235</v>
      </c>
      <c r="D742" s="13" t="s">
        <v>246</v>
      </c>
      <c r="E742" s="13" t="s">
        <v>281</v>
      </c>
      <c r="F742" s="7">
        <v>45460</v>
      </c>
      <c r="H742" s="2">
        <v>0.5</v>
      </c>
      <c r="I742" s="217" t="s">
        <v>281</v>
      </c>
    </row>
    <row r="743" spans="2:9" ht="21" customHeight="1" x14ac:dyDescent="0.3">
      <c r="B743" s="219" t="s">
        <v>336</v>
      </c>
      <c r="C743" s="219" t="s">
        <v>235</v>
      </c>
      <c r="D743" s="219" t="s">
        <v>246</v>
      </c>
      <c r="E743" s="219" t="s">
        <v>258</v>
      </c>
      <c r="F743" s="7">
        <v>45457</v>
      </c>
      <c r="H743" s="2">
        <v>1</v>
      </c>
      <c r="I743" s="220" t="s">
        <v>258</v>
      </c>
    </row>
    <row r="744" spans="2:9" ht="21" customHeight="1" x14ac:dyDescent="0.3">
      <c r="B744" s="219" t="s">
        <v>336</v>
      </c>
      <c r="C744" s="219" t="s">
        <v>235</v>
      </c>
      <c r="D744" s="219" t="s">
        <v>246</v>
      </c>
      <c r="E744" s="219" t="s">
        <v>258</v>
      </c>
      <c r="F744" s="7">
        <v>45462</v>
      </c>
      <c r="H744" s="2">
        <v>1</v>
      </c>
      <c r="I744" s="220" t="s">
        <v>357</v>
      </c>
    </row>
    <row r="745" spans="2:9" ht="21" customHeight="1" x14ac:dyDescent="0.3">
      <c r="B745" s="219" t="s">
        <v>336</v>
      </c>
      <c r="C745" s="219" t="s">
        <v>235</v>
      </c>
      <c r="D745" s="219" t="s">
        <v>246</v>
      </c>
      <c r="E745" s="219" t="s">
        <v>258</v>
      </c>
      <c r="F745" s="7">
        <v>45463</v>
      </c>
      <c r="H745" s="2">
        <v>1</v>
      </c>
      <c r="I745" s="220" t="s">
        <v>258</v>
      </c>
    </row>
    <row r="746" spans="2:9" ht="21" customHeight="1" x14ac:dyDescent="0.3">
      <c r="B746" s="219" t="s">
        <v>348</v>
      </c>
      <c r="C746" s="219" t="s">
        <v>232</v>
      </c>
      <c r="D746" s="219" t="s">
        <v>246</v>
      </c>
      <c r="E746" s="219" t="s">
        <v>281</v>
      </c>
      <c r="F746" s="7">
        <v>45460</v>
      </c>
      <c r="H746" s="2">
        <v>0.5</v>
      </c>
      <c r="I746" s="220" t="s">
        <v>281</v>
      </c>
    </row>
    <row r="747" spans="2:9" ht="21" customHeight="1" x14ac:dyDescent="0.3">
      <c r="B747" s="219" t="s">
        <v>348</v>
      </c>
      <c r="C747" s="219" t="s">
        <v>232</v>
      </c>
      <c r="D747" s="219" t="s">
        <v>246</v>
      </c>
      <c r="E747" s="219" t="s">
        <v>281</v>
      </c>
      <c r="F747" s="7">
        <v>45468</v>
      </c>
      <c r="H747" s="2">
        <v>0.5</v>
      </c>
      <c r="I747" s="220" t="s">
        <v>281</v>
      </c>
    </row>
    <row r="748" spans="2:9" ht="21" customHeight="1" x14ac:dyDescent="0.3">
      <c r="B748" s="13" t="s">
        <v>229</v>
      </c>
      <c r="C748" s="13" t="s">
        <v>232</v>
      </c>
      <c r="D748" s="13" t="s">
        <v>244</v>
      </c>
      <c r="E748" s="219" t="s">
        <v>258</v>
      </c>
      <c r="F748" s="7">
        <v>45484</v>
      </c>
      <c r="H748" s="2">
        <v>1</v>
      </c>
      <c r="I748" s="220" t="s">
        <v>258</v>
      </c>
    </row>
    <row r="749" spans="2:9" ht="21" customHeight="1" x14ac:dyDescent="0.3">
      <c r="B749" s="13" t="s">
        <v>229</v>
      </c>
      <c r="C749" s="13" t="s">
        <v>232</v>
      </c>
      <c r="D749" s="13" t="s">
        <v>244</v>
      </c>
      <c r="E749" s="219" t="s">
        <v>258</v>
      </c>
      <c r="F749" s="7">
        <v>45485</v>
      </c>
      <c r="H749" s="2">
        <v>1</v>
      </c>
      <c r="I749" s="220" t="s">
        <v>258</v>
      </c>
    </row>
    <row r="750" spans="2:9" ht="21" customHeight="1" x14ac:dyDescent="0.3">
      <c r="B750" s="13" t="s">
        <v>229</v>
      </c>
      <c r="C750" s="13" t="s">
        <v>232</v>
      </c>
      <c r="D750" s="13" t="s">
        <v>244</v>
      </c>
      <c r="E750" s="219" t="s">
        <v>258</v>
      </c>
      <c r="F750" s="7">
        <v>45488</v>
      </c>
      <c r="H750" s="2">
        <v>1</v>
      </c>
      <c r="I750" s="220" t="s">
        <v>359</v>
      </c>
    </row>
    <row r="751" spans="2:9" ht="21" customHeight="1" x14ac:dyDescent="0.3">
      <c r="B751" s="13" t="s">
        <v>229</v>
      </c>
      <c r="C751" s="13" t="s">
        <v>232</v>
      </c>
      <c r="D751" s="13" t="s">
        <v>244</v>
      </c>
      <c r="E751" s="219" t="s">
        <v>258</v>
      </c>
      <c r="F751" s="7">
        <v>45489</v>
      </c>
      <c r="H751" s="2">
        <v>1</v>
      </c>
      <c r="I751" s="220" t="s">
        <v>359</v>
      </c>
    </row>
    <row r="752" spans="2:9" ht="21" customHeight="1" x14ac:dyDescent="0.3">
      <c r="B752" s="13" t="s">
        <v>229</v>
      </c>
      <c r="C752" s="13" t="s">
        <v>232</v>
      </c>
      <c r="D752" s="13" t="s">
        <v>244</v>
      </c>
      <c r="E752" s="219" t="s">
        <v>258</v>
      </c>
      <c r="F752" s="7">
        <v>45490</v>
      </c>
      <c r="H752" s="2">
        <v>1</v>
      </c>
      <c r="I752" s="220" t="s">
        <v>359</v>
      </c>
    </row>
    <row r="753" spans="2:9" ht="21" customHeight="1" x14ac:dyDescent="0.3">
      <c r="B753" s="13" t="s">
        <v>229</v>
      </c>
      <c r="C753" s="13" t="s">
        <v>232</v>
      </c>
      <c r="D753" s="13" t="s">
        <v>244</v>
      </c>
      <c r="E753" s="219" t="s">
        <v>258</v>
      </c>
      <c r="F753" s="7">
        <v>45491</v>
      </c>
      <c r="H753" s="2">
        <v>1</v>
      </c>
      <c r="I753" s="220" t="s">
        <v>359</v>
      </c>
    </row>
    <row r="754" spans="2:9" ht="21" customHeight="1" x14ac:dyDescent="0.3">
      <c r="B754" s="13" t="s">
        <v>229</v>
      </c>
      <c r="C754" s="13" t="s">
        <v>232</v>
      </c>
      <c r="D754" s="13" t="s">
        <v>244</v>
      </c>
      <c r="E754" s="219" t="s">
        <v>258</v>
      </c>
      <c r="F754" s="7">
        <v>45492</v>
      </c>
      <c r="H754" s="2">
        <v>1</v>
      </c>
      <c r="I754" s="220" t="s">
        <v>359</v>
      </c>
    </row>
    <row r="755" spans="2:9" ht="21" customHeight="1" x14ac:dyDescent="0.3">
      <c r="B755" s="13" t="s">
        <v>229</v>
      </c>
      <c r="C755" s="13" t="s">
        <v>232</v>
      </c>
      <c r="D755" s="13" t="s">
        <v>244</v>
      </c>
      <c r="E755" s="219" t="s">
        <v>258</v>
      </c>
      <c r="F755" s="7">
        <v>45504</v>
      </c>
      <c r="H755" s="2">
        <v>1</v>
      </c>
      <c r="I755" s="220" t="s">
        <v>258</v>
      </c>
    </row>
    <row r="756" spans="2:9" ht="21" customHeight="1" x14ac:dyDescent="0.3">
      <c r="B756" s="13" t="s">
        <v>267</v>
      </c>
      <c r="C756" s="13" t="s">
        <v>232</v>
      </c>
      <c r="D756" s="13" t="s">
        <v>241</v>
      </c>
      <c r="E756" s="219" t="s">
        <v>258</v>
      </c>
      <c r="F756" s="7">
        <v>45488</v>
      </c>
      <c r="H756" s="2">
        <v>1</v>
      </c>
      <c r="I756" s="220" t="s">
        <v>258</v>
      </c>
    </row>
    <row r="757" spans="2:9" ht="21" customHeight="1" x14ac:dyDescent="0.3">
      <c r="B757" s="13" t="s">
        <v>267</v>
      </c>
      <c r="C757" s="13" t="s">
        <v>232</v>
      </c>
      <c r="D757" s="13" t="s">
        <v>241</v>
      </c>
      <c r="E757" s="219" t="s">
        <v>258</v>
      </c>
      <c r="F757" s="7">
        <v>45495</v>
      </c>
      <c r="H757" s="2">
        <v>1</v>
      </c>
      <c r="I757" s="220" t="s">
        <v>258</v>
      </c>
    </row>
    <row r="758" spans="2:9" ht="21" customHeight="1" x14ac:dyDescent="0.3">
      <c r="B758" s="13" t="s">
        <v>337</v>
      </c>
      <c r="C758" s="13" t="s">
        <v>232</v>
      </c>
      <c r="D758" s="13" t="s">
        <v>244</v>
      </c>
      <c r="E758" s="219" t="s">
        <v>258</v>
      </c>
      <c r="F758" s="7">
        <v>45502</v>
      </c>
      <c r="H758" s="2">
        <v>1</v>
      </c>
      <c r="I758" s="220" t="s">
        <v>258</v>
      </c>
    </row>
    <row r="759" spans="2:9" ht="21" customHeight="1" x14ac:dyDescent="0.3">
      <c r="B759" s="13" t="s">
        <v>358</v>
      </c>
      <c r="C759" s="13" t="s">
        <v>232</v>
      </c>
      <c r="D759" s="13" t="s">
        <v>244</v>
      </c>
      <c r="E759" s="219" t="s">
        <v>258</v>
      </c>
      <c r="F759" s="7">
        <v>45499</v>
      </c>
      <c r="H759" s="2">
        <v>1</v>
      </c>
      <c r="I759" s="220" t="s">
        <v>258</v>
      </c>
    </row>
    <row r="760" spans="2:9" ht="21" customHeight="1" x14ac:dyDescent="0.3">
      <c r="B760" s="13" t="s">
        <v>358</v>
      </c>
      <c r="C760" s="13" t="s">
        <v>232</v>
      </c>
      <c r="D760" s="13" t="s">
        <v>244</v>
      </c>
      <c r="E760" s="219" t="s">
        <v>258</v>
      </c>
      <c r="F760" s="7">
        <v>45502</v>
      </c>
      <c r="H760" s="2">
        <v>1</v>
      </c>
      <c r="I760" s="220" t="s">
        <v>258</v>
      </c>
    </row>
    <row r="761" spans="2:9" ht="21" customHeight="1" x14ac:dyDescent="0.3">
      <c r="B761" s="13" t="s">
        <v>358</v>
      </c>
      <c r="C761" s="13" t="s">
        <v>232</v>
      </c>
      <c r="D761" s="13" t="s">
        <v>244</v>
      </c>
      <c r="E761" s="219" t="s">
        <v>258</v>
      </c>
      <c r="F761" s="7">
        <v>45503</v>
      </c>
      <c r="H761" s="2">
        <v>1</v>
      </c>
      <c r="I761" s="220" t="s">
        <v>258</v>
      </c>
    </row>
    <row r="762" spans="2:9" ht="21" customHeight="1" x14ac:dyDescent="0.3">
      <c r="B762" s="13" t="s">
        <v>228</v>
      </c>
      <c r="C762" s="13" t="s">
        <v>233</v>
      </c>
      <c r="D762" s="13" t="s">
        <v>246</v>
      </c>
      <c r="E762" s="219" t="s">
        <v>258</v>
      </c>
      <c r="F762" s="7">
        <v>45474</v>
      </c>
      <c r="H762" s="2">
        <v>1</v>
      </c>
      <c r="I762" s="220" t="s">
        <v>258</v>
      </c>
    </row>
    <row r="763" spans="2:9" ht="21" customHeight="1" x14ac:dyDescent="0.3">
      <c r="B763" s="13" t="s">
        <v>228</v>
      </c>
      <c r="C763" s="13" t="s">
        <v>233</v>
      </c>
      <c r="D763" s="13" t="s">
        <v>246</v>
      </c>
      <c r="E763" s="219" t="s">
        <v>258</v>
      </c>
      <c r="F763" s="7">
        <v>45502</v>
      </c>
      <c r="H763" s="2">
        <v>1</v>
      </c>
      <c r="I763" s="220" t="s">
        <v>258</v>
      </c>
    </row>
    <row r="764" spans="2:9" ht="21" customHeight="1" x14ac:dyDescent="0.3">
      <c r="B764" s="13" t="s">
        <v>228</v>
      </c>
      <c r="C764" s="13" t="s">
        <v>233</v>
      </c>
      <c r="D764" s="13" t="s">
        <v>246</v>
      </c>
      <c r="E764" s="219" t="s">
        <v>258</v>
      </c>
      <c r="F764" s="7">
        <v>45503</v>
      </c>
      <c r="H764" s="2">
        <v>1</v>
      </c>
      <c r="I764" s="220" t="s">
        <v>258</v>
      </c>
    </row>
    <row r="765" spans="2:9" ht="21" customHeight="1" x14ac:dyDescent="0.3">
      <c r="B765" s="13" t="s">
        <v>228</v>
      </c>
      <c r="C765" s="13" t="s">
        <v>233</v>
      </c>
      <c r="D765" s="13" t="s">
        <v>246</v>
      </c>
      <c r="E765" s="219" t="s">
        <v>258</v>
      </c>
      <c r="F765" s="7">
        <v>45504</v>
      </c>
      <c r="H765" s="2">
        <v>1</v>
      </c>
      <c r="I765" s="220" t="s">
        <v>258</v>
      </c>
    </row>
    <row r="766" spans="2:9" ht="21" customHeight="1" x14ac:dyDescent="0.3">
      <c r="B766" s="13" t="s">
        <v>231</v>
      </c>
      <c r="C766" s="13" t="s">
        <v>235</v>
      </c>
      <c r="D766" s="13" t="s">
        <v>246</v>
      </c>
      <c r="E766" s="219" t="s">
        <v>258</v>
      </c>
      <c r="F766" s="7">
        <v>45481</v>
      </c>
      <c r="H766" s="2">
        <v>1</v>
      </c>
      <c r="I766" s="220" t="s">
        <v>258</v>
      </c>
    </row>
    <row r="767" spans="2:9" ht="21" customHeight="1" x14ac:dyDescent="0.3">
      <c r="B767" s="13" t="s">
        <v>231</v>
      </c>
      <c r="C767" s="13" t="s">
        <v>235</v>
      </c>
      <c r="D767" s="13" t="s">
        <v>246</v>
      </c>
      <c r="E767" s="219" t="s">
        <v>258</v>
      </c>
      <c r="F767" s="7">
        <v>45482</v>
      </c>
      <c r="H767" s="2">
        <v>1</v>
      </c>
      <c r="I767" s="220" t="s">
        <v>258</v>
      </c>
    </row>
    <row r="768" spans="2:9" ht="21" customHeight="1" x14ac:dyDescent="0.3">
      <c r="B768" s="13" t="s">
        <v>336</v>
      </c>
      <c r="C768" s="13" t="s">
        <v>235</v>
      </c>
      <c r="D768" s="13" t="s">
        <v>246</v>
      </c>
      <c r="E768" s="219" t="s">
        <v>258</v>
      </c>
      <c r="F768" s="7">
        <v>45502</v>
      </c>
      <c r="H768" s="2">
        <v>1</v>
      </c>
      <c r="I768" s="220" t="s">
        <v>258</v>
      </c>
    </row>
    <row r="769" spans="2:9" ht="21" customHeight="1" x14ac:dyDescent="0.3">
      <c r="B769" s="13" t="s">
        <v>336</v>
      </c>
      <c r="C769" s="13" t="s">
        <v>235</v>
      </c>
      <c r="D769" s="13" t="s">
        <v>246</v>
      </c>
      <c r="E769" s="219" t="s">
        <v>258</v>
      </c>
      <c r="F769" s="7">
        <v>45503</v>
      </c>
      <c r="H769" s="2">
        <v>1</v>
      </c>
      <c r="I769" s="220" t="s">
        <v>258</v>
      </c>
    </row>
    <row r="770" spans="2:9" ht="21" customHeight="1" x14ac:dyDescent="0.3">
      <c r="B770" s="13" t="s">
        <v>336</v>
      </c>
      <c r="C770" s="13" t="s">
        <v>235</v>
      </c>
      <c r="D770" s="13" t="s">
        <v>246</v>
      </c>
      <c r="E770" s="219" t="s">
        <v>258</v>
      </c>
      <c r="F770" s="7">
        <v>45504</v>
      </c>
      <c r="H770" s="2">
        <v>1</v>
      </c>
      <c r="I770" s="220" t="s">
        <v>258</v>
      </c>
    </row>
    <row r="771" spans="2:9" ht="21" customHeight="1" x14ac:dyDescent="0.3">
      <c r="B771" s="13" t="s">
        <v>222</v>
      </c>
      <c r="C771" s="13" t="s">
        <v>235</v>
      </c>
      <c r="D771" s="13" t="s">
        <v>243</v>
      </c>
      <c r="E771" s="219" t="s">
        <v>81</v>
      </c>
      <c r="F771" s="7">
        <v>45476</v>
      </c>
      <c r="H771" s="2">
        <v>0.5</v>
      </c>
      <c r="I771" s="220" t="s">
        <v>281</v>
      </c>
    </row>
    <row r="772" spans="2:9" ht="21" customHeight="1" x14ac:dyDescent="0.3">
      <c r="B772" s="13" t="s">
        <v>222</v>
      </c>
      <c r="C772" s="13" t="s">
        <v>235</v>
      </c>
      <c r="D772" s="13" t="s">
        <v>243</v>
      </c>
      <c r="E772" s="219" t="s">
        <v>258</v>
      </c>
      <c r="F772" s="7">
        <v>45489</v>
      </c>
      <c r="H772" s="2">
        <v>1</v>
      </c>
      <c r="I772" s="220" t="s">
        <v>258</v>
      </c>
    </row>
    <row r="773" spans="2:9" ht="21" customHeight="1" x14ac:dyDescent="0.3">
      <c r="B773" s="13" t="s">
        <v>222</v>
      </c>
      <c r="C773" s="13" t="s">
        <v>235</v>
      </c>
      <c r="D773" s="13" t="s">
        <v>243</v>
      </c>
      <c r="E773" s="219" t="s">
        <v>81</v>
      </c>
      <c r="F773" s="7">
        <v>45504</v>
      </c>
      <c r="H773" s="2">
        <v>0.5</v>
      </c>
      <c r="I773" s="220" t="s">
        <v>281</v>
      </c>
    </row>
    <row r="774" spans="2:9" ht="21" customHeight="1" x14ac:dyDescent="0.3">
      <c r="B774" s="13" t="s">
        <v>351</v>
      </c>
      <c r="C774" s="13" t="s">
        <v>233</v>
      </c>
      <c r="D774" s="13" t="s">
        <v>246</v>
      </c>
      <c r="E774" s="219" t="s">
        <v>258</v>
      </c>
      <c r="F774" s="7">
        <v>45502</v>
      </c>
      <c r="H774" s="2">
        <v>1</v>
      </c>
      <c r="I774" s="217" t="s">
        <v>340</v>
      </c>
    </row>
    <row r="775" spans="2:9" ht="21" customHeight="1" x14ac:dyDescent="0.3">
      <c r="B775" s="13" t="s">
        <v>351</v>
      </c>
      <c r="C775" s="13" t="s">
        <v>233</v>
      </c>
      <c r="D775" s="13" t="s">
        <v>246</v>
      </c>
      <c r="E775" s="219" t="s">
        <v>258</v>
      </c>
      <c r="F775" s="7">
        <v>45502</v>
      </c>
      <c r="H775" s="2">
        <v>1</v>
      </c>
      <c r="I775" s="217" t="s">
        <v>340</v>
      </c>
    </row>
    <row r="776" spans="2:9" ht="21" customHeight="1" x14ac:dyDescent="0.3">
      <c r="B776" s="13" t="s">
        <v>351</v>
      </c>
      <c r="C776" s="13" t="s">
        <v>233</v>
      </c>
      <c r="D776" s="13" t="s">
        <v>246</v>
      </c>
      <c r="E776" s="219" t="s">
        <v>258</v>
      </c>
      <c r="F776" s="7">
        <v>45502</v>
      </c>
      <c r="H776" s="2">
        <v>1</v>
      </c>
      <c r="I776" s="217" t="s">
        <v>340</v>
      </c>
    </row>
    <row r="777" spans="2:9" ht="21" customHeight="1" x14ac:dyDescent="0.3">
      <c r="B777" s="13" t="s">
        <v>352</v>
      </c>
      <c r="C777" s="13" t="s">
        <v>233</v>
      </c>
      <c r="D777" s="13" t="s">
        <v>246</v>
      </c>
      <c r="E777" s="13" t="s">
        <v>355</v>
      </c>
      <c r="F777" s="7">
        <v>45495</v>
      </c>
      <c r="H777" s="2">
        <v>1</v>
      </c>
      <c r="I777" s="217" t="s">
        <v>355</v>
      </c>
    </row>
    <row r="778" spans="2:9" ht="21" customHeight="1" x14ac:dyDescent="0.3">
      <c r="B778" s="13" t="s">
        <v>352</v>
      </c>
      <c r="C778" s="13" t="s">
        <v>233</v>
      </c>
      <c r="D778" s="13" t="s">
        <v>246</v>
      </c>
      <c r="E778" s="13" t="s">
        <v>355</v>
      </c>
      <c r="F778" s="7">
        <v>45496</v>
      </c>
      <c r="H778" s="2">
        <v>1</v>
      </c>
      <c r="I778" s="220" t="s">
        <v>355</v>
      </c>
    </row>
    <row r="779" spans="2:9" ht="21" customHeight="1" x14ac:dyDescent="0.3">
      <c r="B779" s="13" t="s">
        <v>352</v>
      </c>
      <c r="C779" s="13" t="s">
        <v>233</v>
      </c>
      <c r="D779" s="13" t="s">
        <v>246</v>
      </c>
      <c r="E779" s="13" t="s">
        <v>355</v>
      </c>
      <c r="F779" s="7">
        <v>45497</v>
      </c>
      <c r="H779" s="2">
        <v>1</v>
      </c>
      <c r="I779" s="220" t="s">
        <v>355</v>
      </c>
    </row>
    <row r="780" spans="2:9" ht="21" customHeight="1" x14ac:dyDescent="0.3">
      <c r="B780" s="13" t="s">
        <v>352</v>
      </c>
      <c r="C780" s="13" t="s">
        <v>233</v>
      </c>
      <c r="D780" s="13" t="s">
        <v>246</v>
      </c>
      <c r="E780" s="219" t="s">
        <v>258</v>
      </c>
      <c r="F780" s="7">
        <v>45502</v>
      </c>
      <c r="H780" s="2">
        <v>1</v>
      </c>
      <c r="I780" s="217" t="s">
        <v>340</v>
      </c>
    </row>
    <row r="781" spans="2:9" ht="21" customHeight="1" x14ac:dyDescent="0.3">
      <c r="B781" s="13" t="s">
        <v>352</v>
      </c>
      <c r="C781" s="13" t="s">
        <v>233</v>
      </c>
      <c r="D781" s="13" t="s">
        <v>246</v>
      </c>
      <c r="E781" s="219" t="s">
        <v>258</v>
      </c>
      <c r="F781" s="7">
        <v>45502</v>
      </c>
      <c r="H781" s="2">
        <v>1</v>
      </c>
      <c r="I781" s="217" t="s">
        <v>340</v>
      </c>
    </row>
    <row r="782" spans="2:9" ht="21" customHeight="1" x14ac:dyDescent="0.3">
      <c r="B782" s="13" t="s">
        <v>352</v>
      </c>
      <c r="C782" s="13" t="s">
        <v>233</v>
      </c>
      <c r="D782" s="13" t="s">
        <v>246</v>
      </c>
      <c r="E782" s="219" t="s">
        <v>258</v>
      </c>
      <c r="F782" s="7">
        <v>45502</v>
      </c>
      <c r="H782" s="2">
        <v>1</v>
      </c>
      <c r="I782" s="217" t="s">
        <v>340</v>
      </c>
    </row>
    <row r="783" spans="2:9" ht="21" customHeight="1" x14ac:dyDescent="0.3">
      <c r="B783" s="13" t="s">
        <v>353</v>
      </c>
      <c r="C783" s="13" t="s">
        <v>233</v>
      </c>
      <c r="D783" s="13" t="s">
        <v>246</v>
      </c>
      <c r="E783" s="219" t="s">
        <v>258</v>
      </c>
      <c r="F783" s="7">
        <v>45492</v>
      </c>
      <c r="H783" s="2">
        <v>1</v>
      </c>
      <c r="I783" s="220" t="s">
        <v>258</v>
      </c>
    </row>
    <row r="784" spans="2:9" ht="21" customHeight="1" x14ac:dyDescent="0.3">
      <c r="B784" s="13" t="s">
        <v>229</v>
      </c>
      <c r="C784" s="13" t="s">
        <v>232</v>
      </c>
      <c r="D784" s="13" t="s">
        <v>244</v>
      </c>
      <c r="E784" s="219" t="s">
        <v>258</v>
      </c>
      <c r="F784" s="7">
        <v>45505</v>
      </c>
      <c r="H784" s="2">
        <v>1</v>
      </c>
      <c r="I784" s="220" t="s">
        <v>258</v>
      </c>
    </row>
    <row r="785" spans="2:9" ht="21" customHeight="1" x14ac:dyDescent="0.3">
      <c r="B785" s="13" t="s">
        <v>229</v>
      </c>
      <c r="C785" s="13" t="s">
        <v>232</v>
      </c>
      <c r="D785" s="13" t="s">
        <v>244</v>
      </c>
      <c r="E785" s="219" t="s">
        <v>258</v>
      </c>
      <c r="F785" s="7">
        <v>45506</v>
      </c>
      <c r="H785" s="2">
        <v>1</v>
      </c>
      <c r="I785" s="220" t="s">
        <v>258</v>
      </c>
    </row>
    <row r="786" spans="2:9" ht="21" customHeight="1" x14ac:dyDescent="0.3">
      <c r="B786" s="13" t="s">
        <v>267</v>
      </c>
      <c r="C786" s="13" t="s">
        <v>232</v>
      </c>
      <c r="D786" s="13" t="s">
        <v>241</v>
      </c>
      <c r="E786" s="13" t="s">
        <v>258</v>
      </c>
      <c r="F786" s="7">
        <v>45513</v>
      </c>
      <c r="H786" s="2">
        <v>1</v>
      </c>
      <c r="I786" s="220" t="s">
        <v>258</v>
      </c>
    </row>
    <row r="787" spans="2:9" ht="21" customHeight="1" x14ac:dyDescent="0.3">
      <c r="B787" s="13" t="s">
        <v>267</v>
      </c>
      <c r="C787" s="13" t="s">
        <v>232</v>
      </c>
      <c r="D787" s="13" t="s">
        <v>241</v>
      </c>
      <c r="E787" s="13" t="s">
        <v>258</v>
      </c>
      <c r="F787" s="7">
        <v>45516</v>
      </c>
      <c r="H787" s="2">
        <v>1</v>
      </c>
      <c r="I787" s="220" t="s">
        <v>258</v>
      </c>
    </row>
    <row r="788" spans="2:9" ht="21" customHeight="1" x14ac:dyDescent="0.3">
      <c r="B788" s="13" t="s">
        <v>267</v>
      </c>
      <c r="C788" s="13" t="s">
        <v>232</v>
      </c>
      <c r="D788" s="13" t="s">
        <v>241</v>
      </c>
      <c r="E788" s="13" t="s">
        <v>258</v>
      </c>
      <c r="F788" s="7">
        <v>45517</v>
      </c>
      <c r="H788" s="2">
        <v>1</v>
      </c>
      <c r="I788" s="220" t="s">
        <v>258</v>
      </c>
    </row>
    <row r="789" spans="2:9" ht="21" customHeight="1" x14ac:dyDescent="0.3">
      <c r="B789" s="13" t="s">
        <v>337</v>
      </c>
      <c r="C789" s="13" t="s">
        <v>232</v>
      </c>
      <c r="D789" s="13" t="s">
        <v>244</v>
      </c>
      <c r="E789" s="13" t="s">
        <v>258</v>
      </c>
      <c r="F789" s="7">
        <v>45517</v>
      </c>
      <c r="H789" s="2">
        <v>1</v>
      </c>
      <c r="I789" s="220" t="s">
        <v>258</v>
      </c>
    </row>
    <row r="790" spans="2:9" ht="21" customHeight="1" x14ac:dyDescent="0.3">
      <c r="B790" s="13" t="s">
        <v>337</v>
      </c>
      <c r="C790" s="13" t="s">
        <v>232</v>
      </c>
      <c r="D790" s="13" t="s">
        <v>244</v>
      </c>
      <c r="E790" s="13" t="s">
        <v>258</v>
      </c>
      <c r="F790" s="7">
        <v>45518</v>
      </c>
      <c r="H790" s="2">
        <v>1</v>
      </c>
      <c r="I790" s="220" t="s">
        <v>258</v>
      </c>
    </row>
    <row r="791" spans="2:9" ht="21" customHeight="1" x14ac:dyDescent="0.3">
      <c r="B791" s="13" t="s">
        <v>337</v>
      </c>
      <c r="C791" s="13" t="s">
        <v>232</v>
      </c>
      <c r="D791" s="13" t="s">
        <v>244</v>
      </c>
      <c r="E791" s="13" t="s">
        <v>258</v>
      </c>
      <c r="F791" s="7">
        <v>45520</v>
      </c>
      <c r="H791" s="2">
        <v>1</v>
      </c>
      <c r="I791" s="220" t="s">
        <v>258</v>
      </c>
    </row>
    <row r="792" spans="2:9" ht="21" customHeight="1" x14ac:dyDescent="0.3">
      <c r="B792" s="13" t="s">
        <v>358</v>
      </c>
      <c r="C792" s="13" t="s">
        <v>232</v>
      </c>
      <c r="D792" s="13" t="s">
        <v>244</v>
      </c>
      <c r="E792" s="13" t="s">
        <v>258</v>
      </c>
      <c r="F792" s="7">
        <v>45526</v>
      </c>
      <c r="H792" s="2">
        <v>1</v>
      </c>
      <c r="I792" s="220" t="s">
        <v>258</v>
      </c>
    </row>
    <row r="793" spans="2:9" ht="21" customHeight="1" x14ac:dyDescent="0.3">
      <c r="B793" s="13" t="s">
        <v>219</v>
      </c>
      <c r="C793" s="13" t="s">
        <v>233</v>
      </c>
      <c r="D793" s="13" t="s">
        <v>241</v>
      </c>
      <c r="E793" s="13" t="s">
        <v>258</v>
      </c>
      <c r="F793" s="7">
        <v>45509</v>
      </c>
      <c r="H793" s="2">
        <v>1</v>
      </c>
      <c r="I793" s="220" t="s">
        <v>258</v>
      </c>
    </row>
    <row r="794" spans="2:9" ht="21" customHeight="1" x14ac:dyDescent="0.3">
      <c r="B794" s="13" t="s">
        <v>219</v>
      </c>
      <c r="C794" s="13" t="s">
        <v>233</v>
      </c>
      <c r="D794" s="13" t="s">
        <v>241</v>
      </c>
      <c r="E794" s="13" t="s">
        <v>258</v>
      </c>
      <c r="F794" s="7">
        <v>45510</v>
      </c>
      <c r="H794" s="2">
        <v>1</v>
      </c>
      <c r="I794" s="220" t="s">
        <v>258</v>
      </c>
    </row>
    <row r="795" spans="2:9" ht="21" customHeight="1" x14ac:dyDescent="0.3">
      <c r="B795" s="13" t="s">
        <v>219</v>
      </c>
      <c r="C795" s="13" t="s">
        <v>233</v>
      </c>
      <c r="D795" s="13" t="s">
        <v>241</v>
      </c>
      <c r="E795" s="13" t="s">
        <v>258</v>
      </c>
      <c r="F795" s="7">
        <v>45511</v>
      </c>
      <c r="H795" s="2">
        <v>1</v>
      </c>
      <c r="I795" s="220" t="s">
        <v>258</v>
      </c>
    </row>
    <row r="796" spans="2:9" ht="21" customHeight="1" x14ac:dyDescent="0.3">
      <c r="B796" s="13" t="s">
        <v>219</v>
      </c>
      <c r="C796" s="13" t="s">
        <v>233</v>
      </c>
      <c r="D796" s="13" t="s">
        <v>241</v>
      </c>
      <c r="E796" s="13" t="s">
        <v>258</v>
      </c>
      <c r="F796" s="7">
        <v>45512</v>
      </c>
      <c r="H796" s="2">
        <v>1</v>
      </c>
      <c r="I796" s="220" t="s">
        <v>258</v>
      </c>
    </row>
    <row r="797" spans="2:9" ht="21" customHeight="1" x14ac:dyDescent="0.3">
      <c r="B797" s="13" t="s">
        <v>219</v>
      </c>
      <c r="C797" s="13" t="s">
        <v>233</v>
      </c>
      <c r="D797" s="13" t="s">
        <v>241</v>
      </c>
      <c r="E797" s="13" t="s">
        <v>258</v>
      </c>
      <c r="F797" s="7">
        <v>45513</v>
      </c>
      <c r="H797" s="2">
        <v>1</v>
      </c>
      <c r="I797" s="220" t="s">
        <v>258</v>
      </c>
    </row>
    <row r="798" spans="2:9" ht="21" customHeight="1" x14ac:dyDescent="0.3">
      <c r="B798" s="13" t="s">
        <v>228</v>
      </c>
      <c r="C798" s="13" t="s">
        <v>233</v>
      </c>
      <c r="D798" s="13" t="s">
        <v>246</v>
      </c>
      <c r="E798" s="13" t="s">
        <v>258</v>
      </c>
      <c r="F798" s="7">
        <v>45505</v>
      </c>
      <c r="H798" s="2">
        <v>1</v>
      </c>
      <c r="I798" s="220" t="s">
        <v>258</v>
      </c>
    </row>
    <row r="799" spans="2:9" ht="21" customHeight="1" x14ac:dyDescent="0.3">
      <c r="B799" s="13" t="s">
        <v>228</v>
      </c>
      <c r="C799" s="13" t="s">
        <v>233</v>
      </c>
      <c r="D799" s="13" t="s">
        <v>246</v>
      </c>
      <c r="E799" s="13" t="s">
        <v>258</v>
      </c>
      <c r="F799" s="7">
        <v>45506</v>
      </c>
      <c r="H799" s="2">
        <v>1</v>
      </c>
      <c r="I799" s="220" t="s">
        <v>258</v>
      </c>
    </row>
    <row r="800" spans="2:9" ht="21" customHeight="1" x14ac:dyDescent="0.3">
      <c r="B800" s="13" t="s">
        <v>228</v>
      </c>
      <c r="C800" s="13" t="s">
        <v>233</v>
      </c>
      <c r="D800" s="13" t="s">
        <v>246</v>
      </c>
      <c r="E800" s="219" t="s">
        <v>81</v>
      </c>
      <c r="F800" s="7">
        <v>45527</v>
      </c>
      <c r="H800" s="2">
        <v>0.5</v>
      </c>
      <c r="I800" s="220" t="s">
        <v>281</v>
      </c>
    </row>
    <row r="801" spans="2:9" ht="21" customHeight="1" x14ac:dyDescent="0.3">
      <c r="B801" s="13" t="s">
        <v>231</v>
      </c>
      <c r="C801" s="13" t="s">
        <v>235</v>
      </c>
      <c r="D801" s="13" t="s">
        <v>246</v>
      </c>
      <c r="E801" s="13" t="s">
        <v>258</v>
      </c>
      <c r="F801" s="7">
        <v>45509</v>
      </c>
      <c r="H801" s="2">
        <v>1</v>
      </c>
      <c r="I801" s="220" t="s">
        <v>258</v>
      </c>
    </row>
    <row r="802" spans="2:9" ht="21" customHeight="1" x14ac:dyDescent="0.3">
      <c r="B802" s="13" t="s">
        <v>231</v>
      </c>
      <c r="C802" s="13" t="s">
        <v>235</v>
      </c>
      <c r="D802" s="13" t="s">
        <v>246</v>
      </c>
      <c r="E802" s="13" t="s">
        <v>258</v>
      </c>
      <c r="F802" s="7">
        <v>45510</v>
      </c>
      <c r="H802" s="2">
        <v>1</v>
      </c>
      <c r="I802" s="220" t="s">
        <v>258</v>
      </c>
    </row>
    <row r="803" spans="2:9" ht="21" customHeight="1" x14ac:dyDescent="0.3">
      <c r="B803" s="13" t="s">
        <v>231</v>
      </c>
      <c r="C803" s="13" t="s">
        <v>235</v>
      </c>
      <c r="D803" s="13" t="s">
        <v>246</v>
      </c>
      <c r="E803" s="13" t="s">
        <v>258</v>
      </c>
      <c r="F803" s="7">
        <v>45511</v>
      </c>
      <c r="H803" s="2">
        <v>1</v>
      </c>
      <c r="I803" s="220" t="s">
        <v>258</v>
      </c>
    </row>
    <row r="804" spans="2:9" ht="21" customHeight="1" x14ac:dyDescent="0.3">
      <c r="B804" s="13" t="s">
        <v>231</v>
      </c>
      <c r="C804" s="13" t="s">
        <v>235</v>
      </c>
      <c r="D804" s="13" t="s">
        <v>246</v>
      </c>
      <c r="E804" s="13" t="s">
        <v>258</v>
      </c>
      <c r="F804" s="7">
        <v>45512</v>
      </c>
      <c r="H804" s="2">
        <v>1</v>
      </c>
      <c r="I804" s="220" t="s">
        <v>258</v>
      </c>
    </row>
    <row r="805" spans="2:9" ht="21" customHeight="1" x14ac:dyDescent="0.3">
      <c r="B805" s="13" t="s">
        <v>231</v>
      </c>
      <c r="C805" s="13" t="s">
        <v>235</v>
      </c>
      <c r="D805" s="13" t="s">
        <v>246</v>
      </c>
      <c r="E805" s="13" t="s">
        <v>258</v>
      </c>
      <c r="F805" s="7">
        <v>45513</v>
      </c>
      <c r="H805" s="2">
        <v>1</v>
      </c>
      <c r="I805" s="220" t="s">
        <v>258</v>
      </c>
    </row>
    <row r="806" spans="2:9" ht="21" customHeight="1" x14ac:dyDescent="0.3">
      <c r="B806" s="13" t="s">
        <v>336</v>
      </c>
      <c r="C806" s="13" t="s">
        <v>235</v>
      </c>
      <c r="D806" s="13" t="s">
        <v>246</v>
      </c>
      <c r="E806" s="13" t="s">
        <v>258</v>
      </c>
      <c r="F806" s="7">
        <v>45505</v>
      </c>
      <c r="H806" s="2">
        <v>1</v>
      </c>
      <c r="I806" s="220" t="s">
        <v>258</v>
      </c>
    </row>
    <row r="807" spans="2:9" ht="21" customHeight="1" x14ac:dyDescent="0.3">
      <c r="B807" s="13" t="s">
        <v>336</v>
      </c>
      <c r="C807" s="13" t="s">
        <v>235</v>
      </c>
      <c r="D807" s="13" t="s">
        <v>246</v>
      </c>
      <c r="E807" s="13" t="s">
        <v>258</v>
      </c>
      <c r="F807" s="7">
        <v>45506</v>
      </c>
      <c r="H807" s="2">
        <v>1</v>
      </c>
      <c r="I807" s="220" t="s">
        <v>258</v>
      </c>
    </row>
    <row r="808" spans="2:9" ht="21" customHeight="1" x14ac:dyDescent="0.3">
      <c r="B808" s="13" t="s">
        <v>222</v>
      </c>
      <c r="C808" s="13" t="s">
        <v>235</v>
      </c>
      <c r="D808" s="13" t="s">
        <v>243</v>
      </c>
      <c r="E808" s="13" t="s">
        <v>258</v>
      </c>
      <c r="F808" s="7">
        <v>45517</v>
      </c>
      <c r="H808" s="2">
        <v>1</v>
      </c>
      <c r="I808" s="220" t="s">
        <v>258</v>
      </c>
    </row>
    <row r="809" spans="2:9" ht="21" customHeight="1" x14ac:dyDescent="0.3">
      <c r="B809" s="13" t="s">
        <v>222</v>
      </c>
      <c r="C809" s="13" t="s">
        <v>235</v>
      </c>
      <c r="D809" s="13" t="s">
        <v>243</v>
      </c>
      <c r="E809" s="13" t="s">
        <v>258</v>
      </c>
      <c r="F809" s="7">
        <v>45523</v>
      </c>
      <c r="H809" s="2">
        <v>1</v>
      </c>
      <c r="I809" s="220" t="s">
        <v>258</v>
      </c>
    </row>
    <row r="810" spans="2:9" ht="21" customHeight="1" x14ac:dyDescent="0.3">
      <c r="B810" s="13" t="s">
        <v>222</v>
      </c>
      <c r="C810" s="13" t="s">
        <v>235</v>
      </c>
      <c r="D810" s="13" t="s">
        <v>243</v>
      </c>
      <c r="E810" s="13" t="s">
        <v>258</v>
      </c>
      <c r="F810" s="7">
        <v>45534</v>
      </c>
      <c r="H810" s="2">
        <v>1</v>
      </c>
      <c r="I810" s="220" t="s">
        <v>258</v>
      </c>
    </row>
    <row r="811" spans="2:9" ht="21" customHeight="1" x14ac:dyDescent="0.3">
      <c r="B811" s="13" t="s">
        <v>348</v>
      </c>
      <c r="C811" s="13" t="s">
        <v>232</v>
      </c>
      <c r="D811" s="13" t="s">
        <v>246</v>
      </c>
      <c r="E811" s="13" t="s">
        <v>258</v>
      </c>
      <c r="F811" s="7">
        <v>45509</v>
      </c>
      <c r="H811" s="2">
        <v>1</v>
      </c>
      <c r="I811" s="220" t="s">
        <v>258</v>
      </c>
    </row>
    <row r="812" spans="2:9" ht="21" customHeight="1" x14ac:dyDescent="0.3">
      <c r="B812" s="13" t="s">
        <v>348</v>
      </c>
      <c r="C812" s="13" t="s">
        <v>232</v>
      </c>
      <c r="D812" s="13" t="s">
        <v>246</v>
      </c>
      <c r="E812" s="13" t="s">
        <v>258</v>
      </c>
      <c r="F812" s="7">
        <v>45510</v>
      </c>
      <c r="H812" s="2">
        <v>1</v>
      </c>
      <c r="I812" s="220" t="s">
        <v>258</v>
      </c>
    </row>
    <row r="813" spans="2:9" ht="21" customHeight="1" x14ac:dyDescent="0.3">
      <c r="B813" s="13" t="s">
        <v>348</v>
      </c>
      <c r="C813" s="13" t="s">
        <v>232</v>
      </c>
      <c r="D813" s="13" t="s">
        <v>246</v>
      </c>
      <c r="E813" s="13" t="s">
        <v>258</v>
      </c>
      <c r="F813" s="7">
        <v>45511</v>
      </c>
      <c r="H813" s="2">
        <v>1</v>
      </c>
      <c r="I813" s="220" t="s">
        <v>258</v>
      </c>
    </row>
    <row r="814" spans="2:9" ht="21" customHeight="1" x14ac:dyDescent="0.3">
      <c r="B814" s="13" t="s">
        <v>348</v>
      </c>
      <c r="C814" s="13" t="s">
        <v>232</v>
      </c>
      <c r="D814" s="13" t="s">
        <v>246</v>
      </c>
      <c r="E814" s="13" t="s">
        <v>258</v>
      </c>
      <c r="F814" s="7">
        <v>45512</v>
      </c>
      <c r="H814" s="2">
        <v>1</v>
      </c>
      <c r="I814" s="220" t="s">
        <v>258</v>
      </c>
    </row>
    <row r="815" spans="2:9" ht="21" customHeight="1" x14ac:dyDescent="0.3">
      <c r="B815" s="13" t="s">
        <v>348</v>
      </c>
      <c r="C815" s="13" t="s">
        <v>232</v>
      </c>
      <c r="D815" s="13" t="s">
        <v>246</v>
      </c>
      <c r="E815" s="13" t="s">
        <v>258</v>
      </c>
      <c r="F815" s="7">
        <v>45513</v>
      </c>
      <c r="H815" s="2">
        <v>1</v>
      </c>
      <c r="I815" s="220" t="s">
        <v>258</v>
      </c>
    </row>
    <row r="816" spans="2:9" ht="21" customHeight="1" x14ac:dyDescent="0.3">
      <c r="B816" s="13" t="s">
        <v>351</v>
      </c>
      <c r="C816" s="13" t="s">
        <v>233</v>
      </c>
      <c r="D816" s="13" t="s">
        <v>246</v>
      </c>
      <c r="E816" s="13" t="s">
        <v>258</v>
      </c>
      <c r="F816" s="7">
        <v>45505</v>
      </c>
      <c r="H816" s="2">
        <v>1</v>
      </c>
      <c r="I816" s="220" t="s">
        <v>258</v>
      </c>
    </row>
    <row r="817" spans="2:10" ht="21" customHeight="1" x14ac:dyDescent="0.3">
      <c r="B817" s="13" t="s">
        <v>351</v>
      </c>
      <c r="C817" s="13" t="s">
        <v>233</v>
      </c>
      <c r="D817" s="13" t="s">
        <v>246</v>
      </c>
      <c r="E817" s="13" t="s">
        <v>258</v>
      </c>
      <c r="F817" s="7">
        <v>45506</v>
      </c>
      <c r="H817" s="2">
        <v>1</v>
      </c>
      <c r="I817" s="220" t="s">
        <v>258</v>
      </c>
    </row>
    <row r="818" spans="2:10" ht="21" customHeight="1" x14ac:dyDescent="0.3">
      <c r="B818" s="13" t="s">
        <v>352</v>
      </c>
      <c r="C818" s="13" t="s">
        <v>233</v>
      </c>
      <c r="D818" s="13" t="s">
        <v>246</v>
      </c>
      <c r="E818" s="13" t="s">
        <v>258</v>
      </c>
      <c r="F818" s="7">
        <v>45506</v>
      </c>
      <c r="H818" s="2">
        <v>1</v>
      </c>
      <c r="I818" s="220" t="s">
        <v>258</v>
      </c>
    </row>
    <row r="819" spans="2:10" ht="21" customHeight="1" x14ac:dyDescent="0.3">
      <c r="B819" s="13" t="s">
        <v>352</v>
      </c>
      <c r="C819" s="13" t="s">
        <v>233</v>
      </c>
      <c r="D819" s="13" t="s">
        <v>246</v>
      </c>
      <c r="E819" s="13" t="s">
        <v>258</v>
      </c>
      <c r="F819" s="7">
        <v>45533</v>
      </c>
      <c r="H819" s="2">
        <v>1</v>
      </c>
      <c r="I819" s="220" t="s">
        <v>258</v>
      </c>
    </row>
    <row r="820" spans="2:10" ht="21" customHeight="1" x14ac:dyDescent="0.3">
      <c r="B820" s="13" t="s">
        <v>352</v>
      </c>
      <c r="C820" s="13" t="s">
        <v>233</v>
      </c>
      <c r="D820" s="13" t="s">
        <v>246</v>
      </c>
      <c r="E820" s="13" t="s">
        <v>258</v>
      </c>
      <c r="F820" s="7">
        <v>45534</v>
      </c>
      <c r="H820" s="2">
        <v>1</v>
      </c>
      <c r="I820" s="220" t="s">
        <v>258</v>
      </c>
    </row>
    <row r="821" spans="2:10" ht="21" customHeight="1" x14ac:dyDescent="0.3">
      <c r="B821" s="13" t="s">
        <v>353</v>
      </c>
      <c r="C821" s="13" t="s">
        <v>233</v>
      </c>
      <c r="D821" s="13" t="s">
        <v>246</v>
      </c>
      <c r="E821" s="13" t="s">
        <v>258</v>
      </c>
      <c r="F821" s="7">
        <v>45509</v>
      </c>
      <c r="H821" s="2">
        <v>1</v>
      </c>
      <c r="I821" s="220" t="s">
        <v>258</v>
      </c>
    </row>
    <row r="822" spans="2:10" ht="21" customHeight="1" x14ac:dyDescent="0.3">
      <c r="B822" s="13" t="s">
        <v>353</v>
      </c>
      <c r="C822" s="13" t="s">
        <v>233</v>
      </c>
      <c r="D822" s="13" t="s">
        <v>246</v>
      </c>
      <c r="E822" s="13" t="s">
        <v>258</v>
      </c>
      <c r="F822" s="7">
        <v>45510</v>
      </c>
      <c r="H822" s="2">
        <v>1</v>
      </c>
      <c r="I822" s="220" t="s">
        <v>258</v>
      </c>
    </row>
    <row r="823" spans="2:10" ht="21" customHeight="1" x14ac:dyDescent="0.3">
      <c r="B823" s="13" t="s">
        <v>353</v>
      </c>
      <c r="C823" s="13" t="s">
        <v>233</v>
      </c>
      <c r="D823" s="13" t="s">
        <v>246</v>
      </c>
      <c r="E823" s="13" t="s">
        <v>258</v>
      </c>
      <c r="F823" s="7">
        <v>45511</v>
      </c>
      <c r="H823" s="2">
        <v>1</v>
      </c>
      <c r="I823" s="220" t="s">
        <v>258</v>
      </c>
    </row>
    <row r="824" spans="2:10" ht="21" customHeight="1" x14ac:dyDescent="0.3">
      <c r="B824" s="13" t="s">
        <v>337</v>
      </c>
      <c r="C824" s="13" t="s">
        <v>232</v>
      </c>
      <c r="D824" s="13" t="s">
        <v>244</v>
      </c>
      <c r="E824" s="13" t="s">
        <v>258</v>
      </c>
      <c r="F824" s="7">
        <v>45544</v>
      </c>
      <c r="H824" s="2">
        <v>1</v>
      </c>
      <c r="I824" s="220" t="s">
        <v>258</v>
      </c>
    </row>
    <row r="825" spans="2:10" ht="21" customHeight="1" x14ac:dyDescent="0.3">
      <c r="B825" s="13" t="s">
        <v>358</v>
      </c>
      <c r="C825" s="13" t="s">
        <v>232</v>
      </c>
      <c r="D825" s="13" t="s">
        <v>244</v>
      </c>
      <c r="E825" s="13" t="s">
        <v>258</v>
      </c>
      <c r="F825" s="7">
        <v>45541</v>
      </c>
      <c r="H825" s="2">
        <v>1</v>
      </c>
      <c r="I825" s="220" t="s">
        <v>258</v>
      </c>
    </row>
    <row r="826" spans="2:10" ht="21" customHeight="1" x14ac:dyDescent="0.3">
      <c r="B826" s="13" t="s">
        <v>358</v>
      </c>
      <c r="C826" s="13" t="s">
        <v>232</v>
      </c>
      <c r="D826" s="13" t="s">
        <v>244</v>
      </c>
      <c r="E826" s="13" t="s">
        <v>258</v>
      </c>
      <c r="F826" s="7">
        <v>45558</v>
      </c>
      <c r="H826" s="2">
        <v>1</v>
      </c>
      <c r="I826" s="220" t="s">
        <v>258</v>
      </c>
      <c r="J826" s="16" t="s">
        <v>362</v>
      </c>
    </row>
    <row r="827" spans="2:10" ht="21" customHeight="1" x14ac:dyDescent="0.3">
      <c r="B827" s="13" t="s">
        <v>358</v>
      </c>
      <c r="C827" s="13" t="s">
        <v>232</v>
      </c>
      <c r="D827" s="13" t="s">
        <v>244</v>
      </c>
      <c r="E827" s="13" t="s">
        <v>258</v>
      </c>
      <c r="F827" s="7">
        <v>45559</v>
      </c>
      <c r="H827" s="2">
        <v>1</v>
      </c>
      <c r="I827" s="220" t="s">
        <v>258</v>
      </c>
      <c r="J827" s="16" t="s">
        <v>362</v>
      </c>
    </row>
    <row r="828" spans="2:10" ht="21" customHeight="1" x14ac:dyDescent="0.3">
      <c r="B828" s="13" t="s">
        <v>358</v>
      </c>
      <c r="C828" s="13" t="s">
        <v>232</v>
      </c>
      <c r="D828" s="13" t="s">
        <v>244</v>
      </c>
      <c r="E828" s="13" t="s">
        <v>258</v>
      </c>
      <c r="F828" s="7">
        <v>45560</v>
      </c>
      <c r="H828" s="2">
        <v>1</v>
      </c>
      <c r="I828" s="220" t="s">
        <v>258</v>
      </c>
      <c r="J828" s="16" t="s">
        <v>362</v>
      </c>
    </row>
    <row r="829" spans="2:10" ht="21" customHeight="1" x14ac:dyDescent="0.3">
      <c r="B829" s="13" t="s">
        <v>358</v>
      </c>
      <c r="C829" s="13" t="s">
        <v>232</v>
      </c>
      <c r="D829" s="13" t="s">
        <v>244</v>
      </c>
      <c r="E829" s="13" t="s">
        <v>258</v>
      </c>
      <c r="F829" s="7">
        <v>45561</v>
      </c>
      <c r="H829" s="2">
        <v>1</v>
      </c>
      <c r="I829" s="220" t="s">
        <v>258</v>
      </c>
      <c r="J829" s="16" t="s">
        <v>362</v>
      </c>
    </row>
    <row r="830" spans="2:10" ht="21" customHeight="1" x14ac:dyDescent="0.3">
      <c r="B830" s="13" t="s">
        <v>358</v>
      </c>
      <c r="C830" s="13" t="s">
        <v>232</v>
      </c>
      <c r="D830" s="13" t="s">
        <v>244</v>
      </c>
      <c r="E830" s="13" t="s">
        <v>258</v>
      </c>
      <c r="F830" s="7">
        <v>45562</v>
      </c>
      <c r="H830" s="2">
        <v>1</v>
      </c>
      <c r="I830" s="220" t="s">
        <v>258</v>
      </c>
      <c r="J830" s="16" t="s">
        <v>362</v>
      </c>
    </row>
    <row r="831" spans="2:10" ht="21" customHeight="1" x14ac:dyDescent="0.3">
      <c r="B831" s="13" t="s">
        <v>358</v>
      </c>
      <c r="C831" s="13" t="s">
        <v>232</v>
      </c>
      <c r="D831" s="13" t="s">
        <v>244</v>
      </c>
      <c r="E831" s="13" t="s">
        <v>258</v>
      </c>
      <c r="F831" s="7">
        <v>45565</v>
      </c>
      <c r="H831" s="2">
        <v>1</v>
      </c>
      <c r="I831" s="220" t="s">
        <v>258</v>
      </c>
    </row>
    <row r="832" spans="2:10" ht="21" customHeight="1" x14ac:dyDescent="0.3">
      <c r="B832" s="13" t="s">
        <v>228</v>
      </c>
      <c r="C832" s="13" t="s">
        <v>233</v>
      </c>
      <c r="D832" s="13" t="s">
        <v>246</v>
      </c>
      <c r="E832" s="219" t="s">
        <v>81</v>
      </c>
      <c r="F832" s="7">
        <v>45562</v>
      </c>
      <c r="H832" s="2">
        <v>0.5</v>
      </c>
      <c r="I832" s="220" t="s">
        <v>281</v>
      </c>
    </row>
    <row r="833" spans="2:9" ht="21" customHeight="1" x14ac:dyDescent="0.3">
      <c r="B833" s="13" t="s">
        <v>231</v>
      </c>
      <c r="C833" s="13" t="s">
        <v>235</v>
      </c>
      <c r="D833" s="13" t="s">
        <v>246</v>
      </c>
      <c r="E833" s="13" t="s">
        <v>258</v>
      </c>
      <c r="F833" s="7">
        <v>45540</v>
      </c>
      <c r="H833" s="2">
        <v>1</v>
      </c>
      <c r="I833" s="220" t="s">
        <v>258</v>
      </c>
    </row>
    <row r="834" spans="2:9" ht="21" customHeight="1" x14ac:dyDescent="0.3">
      <c r="B834" s="13" t="s">
        <v>231</v>
      </c>
      <c r="C834" s="13" t="s">
        <v>235</v>
      </c>
      <c r="D834" s="13" t="s">
        <v>246</v>
      </c>
      <c r="E834" s="13" t="s">
        <v>258</v>
      </c>
      <c r="F834" s="7">
        <v>45541</v>
      </c>
      <c r="H834" s="2">
        <v>1</v>
      </c>
      <c r="I834" s="220" t="s">
        <v>258</v>
      </c>
    </row>
    <row r="835" spans="2:9" ht="21" customHeight="1" x14ac:dyDescent="0.3">
      <c r="B835" s="13" t="s">
        <v>222</v>
      </c>
      <c r="C835" s="13" t="s">
        <v>235</v>
      </c>
      <c r="D835" s="13" t="s">
        <v>243</v>
      </c>
      <c r="E835" s="13" t="s">
        <v>258</v>
      </c>
      <c r="F835" s="7">
        <v>45561</v>
      </c>
      <c r="H835" s="2">
        <v>1</v>
      </c>
      <c r="I835" s="220" t="s">
        <v>258</v>
      </c>
    </row>
    <row r="836" spans="2:9" ht="21" customHeight="1" x14ac:dyDescent="0.3">
      <c r="B836" s="13" t="s">
        <v>222</v>
      </c>
      <c r="C836" s="13" t="s">
        <v>235</v>
      </c>
      <c r="D836" s="13" t="s">
        <v>243</v>
      </c>
      <c r="E836" s="219" t="s">
        <v>81</v>
      </c>
      <c r="F836" s="7">
        <v>45562</v>
      </c>
      <c r="H836" s="2">
        <v>0.5</v>
      </c>
      <c r="I836" s="220" t="s">
        <v>281</v>
      </c>
    </row>
    <row r="837" spans="2:9" ht="21" customHeight="1" x14ac:dyDescent="0.3">
      <c r="B837" s="13" t="s">
        <v>348</v>
      </c>
      <c r="C837" s="13" t="s">
        <v>232</v>
      </c>
      <c r="D837" s="13" t="s">
        <v>246</v>
      </c>
      <c r="E837" s="13" t="s">
        <v>258</v>
      </c>
      <c r="F837" s="7">
        <v>45537</v>
      </c>
      <c r="H837" s="2">
        <v>1</v>
      </c>
      <c r="I837" s="220" t="s">
        <v>258</v>
      </c>
    </row>
    <row r="838" spans="2:9" ht="21" customHeight="1" x14ac:dyDescent="0.3">
      <c r="B838" s="13" t="s">
        <v>267</v>
      </c>
      <c r="C838" s="13" t="s">
        <v>232</v>
      </c>
      <c r="D838" s="13" t="s">
        <v>241</v>
      </c>
      <c r="E838" s="13" t="s">
        <v>258</v>
      </c>
      <c r="F838" s="7">
        <v>45586</v>
      </c>
      <c r="H838" s="2">
        <v>1</v>
      </c>
      <c r="I838" s="220" t="s">
        <v>258</v>
      </c>
    </row>
    <row r="839" spans="2:9" ht="21" customHeight="1" x14ac:dyDescent="0.3">
      <c r="B839" s="13" t="s">
        <v>337</v>
      </c>
      <c r="C839" s="13" t="s">
        <v>232</v>
      </c>
      <c r="D839" s="13" t="s">
        <v>244</v>
      </c>
      <c r="E839" s="13" t="s">
        <v>258</v>
      </c>
      <c r="F839" s="7">
        <v>45580</v>
      </c>
      <c r="H839" s="2">
        <v>1</v>
      </c>
      <c r="I839" s="220" t="s">
        <v>258</v>
      </c>
    </row>
    <row r="840" spans="2:9" ht="21" customHeight="1" x14ac:dyDescent="0.3">
      <c r="B840" s="13" t="s">
        <v>358</v>
      </c>
      <c r="C840" s="13" t="s">
        <v>232</v>
      </c>
      <c r="D840" s="13" t="s">
        <v>244</v>
      </c>
      <c r="E840" s="13" t="s">
        <v>258</v>
      </c>
      <c r="F840" s="7">
        <v>45593</v>
      </c>
      <c r="H840" s="2">
        <v>1</v>
      </c>
      <c r="I840" s="220" t="s">
        <v>258</v>
      </c>
    </row>
    <row r="841" spans="2:9" ht="21" customHeight="1" x14ac:dyDescent="0.3">
      <c r="B841" s="13" t="s">
        <v>219</v>
      </c>
      <c r="C841" s="13" t="s">
        <v>233</v>
      </c>
      <c r="D841" s="13" t="s">
        <v>241</v>
      </c>
      <c r="E841" s="13" t="s">
        <v>258</v>
      </c>
      <c r="F841" s="7">
        <v>45586</v>
      </c>
      <c r="H841" s="2">
        <v>1</v>
      </c>
      <c r="I841" s="220" t="s">
        <v>258</v>
      </c>
    </row>
    <row r="842" spans="2:9" ht="21" customHeight="1" x14ac:dyDescent="0.3">
      <c r="B842" s="13" t="s">
        <v>348</v>
      </c>
      <c r="C842" s="13" t="s">
        <v>232</v>
      </c>
      <c r="D842" s="13" t="s">
        <v>246</v>
      </c>
      <c r="E842" s="13" t="s">
        <v>258</v>
      </c>
      <c r="F842" s="7">
        <v>45583</v>
      </c>
      <c r="H842" s="2">
        <v>1</v>
      </c>
      <c r="I842" s="220" t="s">
        <v>258</v>
      </c>
    </row>
    <row r="843" spans="2:9" ht="21" customHeight="1" x14ac:dyDescent="0.3">
      <c r="B843" s="13" t="s">
        <v>351</v>
      </c>
      <c r="C843" s="13" t="s">
        <v>233</v>
      </c>
      <c r="D843" s="13" t="s">
        <v>246</v>
      </c>
      <c r="E843" s="13" t="s">
        <v>258</v>
      </c>
      <c r="F843" s="7">
        <v>45590</v>
      </c>
      <c r="H843" s="2">
        <v>1</v>
      </c>
      <c r="I843" s="220" t="s">
        <v>258</v>
      </c>
    </row>
    <row r="844" spans="2:9" ht="21" customHeight="1" x14ac:dyDescent="0.3">
      <c r="B844" s="13" t="s">
        <v>352</v>
      </c>
      <c r="C844" s="13" t="s">
        <v>233</v>
      </c>
      <c r="D844" s="13" t="s">
        <v>246</v>
      </c>
      <c r="E844" s="13" t="s">
        <v>258</v>
      </c>
      <c r="F844" s="7">
        <v>45569</v>
      </c>
      <c r="H844" s="2">
        <v>1</v>
      </c>
      <c r="I844" s="220" t="s">
        <v>258</v>
      </c>
    </row>
    <row r="845" spans="2:9" ht="21" customHeight="1" x14ac:dyDescent="0.3">
      <c r="B845" s="13" t="s">
        <v>353</v>
      </c>
      <c r="C845" s="13" t="s">
        <v>233</v>
      </c>
      <c r="D845" s="13" t="s">
        <v>246</v>
      </c>
      <c r="E845" s="13" t="s">
        <v>258</v>
      </c>
      <c r="F845" s="7">
        <v>45593</v>
      </c>
      <c r="H845" s="2">
        <v>1</v>
      </c>
      <c r="I845" s="220" t="s">
        <v>258</v>
      </c>
    </row>
    <row r="846" spans="2:9" ht="21" customHeight="1" x14ac:dyDescent="0.3">
      <c r="B846" s="13" t="s">
        <v>336</v>
      </c>
      <c r="C846" s="13" t="s">
        <v>235</v>
      </c>
      <c r="D846" s="13" t="s">
        <v>246</v>
      </c>
      <c r="E846" s="13" t="s">
        <v>258</v>
      </c>
      <c r="F846" s="7">
        <v>45546</v>
      </c>
      <c r="H846" s="2">
        <v>1</v>
      </c>
      <c r="I846" s="220" t="s">
        <v>258</v>
      </c>
    </row>
    <row r="847" spans="2:9" ht="21" customHeight="1" x14ac:dyDescent="0.3">
      <c r="B847" s="13" t="s">
        <v>336</v>
      </c>
      <c r="C847" s="13" t="s">
        <v>235</v>
      </c>
      <c r="D847" s="13" t="s">
        <v>246</v>
      </c>
      <c r="E847" s="13" t="s">
        <v>258</v>
      </c>
      <c r="F847" s="7">
        <v>45547</v>
      </c>
      <c r="H847" s="2">
        <v>1</v>
      </c>
      <c r="I847" s="220" t="s">
        <v>258</v>
      </c>
    </row>
    <row r="848" spans="2:9" ht="21" customHeight="1" x14ac:dyDescent="0.3">
      <c r="B848" s="13" t="s">
        <v>336</v>
      </c>
      <c r="C848" s="13" t="s">
        <v>235</v>
      </c>
      <c r="D848" s="13" t="s">
        <v>246</v>
      </c>
      <c r="E848" s="13" t="s">
        <v>258</v>
      </c>
      <c r="F848" s="7">
        <v>45548</v>
      </c>
      <c r="H848" s="2">
        <v>1</v>
      </c>
      <c r="I848" s="220" t="s">
        <v>258</v>
      </c>
    </row>
    <row r="849" spans="2:9" ht="21" customHeight="1" x14ac:dyDescent="0.3">
      <c r="B849" s="13" t="s">
        <v>291</v>
      </c>
      <c r="C849" s="13" t="s">
        <v>232</v>
      </c>
      <c r="D849" s="13" t="s">
        <v>241</v>
      </c>
      <c r="E849" s="13" t="s">
        <v>258</v>
      </c>
      <c r="F849" s="7">
        <v>45597</v>
      </c>
      <c r="H849" s="2">
        <v>1</v>
      </c>
      <c r="I849" s="220" t="s">
        <v>258</v>
      </c>
    </row>
    <row r="850" spans="2:9" ht="21" customHeight="1" x14ac:dyDescent="0.3">
      <c r="B850" s="13" t="s">
        <v>291</v>
      </c>
      <c r="C850" s="13" t="s">
        <v>232</v>
      </c>
      <c r="D850" s="13" t="s">
        <v>241</v>
      </c>
      <c r="E850" s="13" t="s">
        <v>258</v>
      </c>
      <c r="F850" s="7">
        <v>45614</v>
      </c>
      <c r="H850" s="2">
        <v>1</v>
      </c>
      <c r="I850" s="220" t="s">
        <v>258</v>
      </c>
    </row>
    <row r="851" spans="2:9" ht="21" customHeight="1" x14ac:dyDescent="0.3">
      <c r="B851" s="13" t="s">
        <v>291</v>
      </c>
      <c r="C851" s="13" t="s">
        <v>232</v>
      </c>
      <c r="D851" s="13" t="s">
        <v>241</v>
      </c>
      <c r="E851" s="13" t="s">
        <v>258</v>
      </c>
      <c r="F851" s="7">
        <v>45622</v>
      </c>
      <c r="H851" s="2">
        <v>1</v>
      </c>
      <c r="I851" s="220" t="s">
        <v>258</v>
      </c>
    </row>
    <row r="852" spans="2:9" ht="21" customHeight="1" x14ac:dyDescent="0.3">
      <c r="B852" s="13" t="s">
        <v>291</v>
      </c>
      <c r="C852" s="13" t="s">
        <v>232</v>
      </c>
      <c r="D852" s="13" t="s">
        <v>241</v>
      </c>
      <c r="E852" s="13" t="s">
        <v>258</v>
      </c>
      <c r="F852" s="7">
        <v>45623</v>
      </c>
      <c r="H852" s="2">
        <v>1</v>
      </c>
      <c r="I852" s="217" t="s">
        <v>258</v>
      </c>
    </row>
    <row r="853" spans="2:9" ht="21" customHeight="1" x14ac:dyDescent="0.3">
      <c r="B853" s="219" t="s">
        <v>291</v>
      </c>
      <c r="C853" s="219" t="s">
        <v>232</v>
      </c>
      <c r="D853" s="219" t="s">
        <v>241</v>
      </c>
      <c r="E853" s="219" t="s">
        <v>258</v>
      </c>
      <c r="F853" s="7">
        <v>45624</v>
      </c>
      <c r="H853" s="2">
        <v>1</v>
      </c>
      <c r="I853" s="220" t="s">
        <v>258</v>
      </c>
    </row>
    <row r="854" spans="2:9" ht="21" customHeight="1" x14ac:dyDescent="0.3">
      <c r="B854" s="219" t="s">
        <v>291</v>
      </c>
      <c r="C854" s="219" t="s">
        <v>232</v>
      </c>
      <c r="D854" s="219" t="s">
        <v>241</v>
      </c>
      <c r="E854" s="219" t="s">
        <v>258</v>
      </c>
      <c r="F854" s="7">
        <v>45625</v>
      </c>
      <c r="H854" s="2">
        <v>1</v>
      </c>
      <c r="I854" s="220" t="s">
        <v>258</v>
      </c>
    </row>
    <row r="855" spans="2:9" ht="21" customHeight="1" x14ac:dyDescent="0.3">
      <c r="B855" s="219" t="s">
        <v>291</v>
      </c>
      <c r="C855" s="219" t="s">
        <v>232</v>
      </c>
      <c r="D855" s="219" t="s">
        <v>241</v>
      </c>
      <c r="E855" s="219" t="s">
        <v>258</v>
      </c>
      <c r="F855" s="7">
        <v>45628</v>
      </c>
      <c r="H855" s="2">
        <v>1</v>
      </c>
      <c r="I855" s="220" t="s">
        <v>258</v>
      </c>
    </row>
    <row r="856" spans="2:9" ht="21" customHeight="1" x14ac:dyDescent="0.3">
      <c r="B856" s="219" t="s">
        <v>291</v>
      </c>
      <c r="C856" s="219" t="s">
        <v>232</v>
      </c>
      <c r="D856" s="219" t="s">
        <v>241</v>
      </c>
      <c r="E856" s="219" t="s">
        <v>258</v>
      </c>
      <c r="F856" s="7">
        <v>45629</v>
      </c>
      <c r="H856" s="2">
        <v>1</v>
      </c>
      <c r="I856" s="220" t="s">
        <v>258</v>
      </c>
    </row>
    <row r="857" spans="2:9" ht="21" customHeight="1" x14ac:dyDescent="0.3">
      <c r="B857" s="219" t="s">
        <v>291</v>
      </c>
      <c r="C857" s="219" t="s">
        <v>232</v>
      </c>
      <c r="D857" s="219" t="s">
        <v>241</v>
      </c>
      <c r="E857" s="219" t="s">
        <v>258</v>
      </c>
      <c r="F857" s="7">
        <v>45630</v>
      </c>
      <c r="H857" s="2">
        <v>1</v>
      </c>
      <c r="I857" s="220" t="s">
        <v>258</v>
      </c>
    </row>
    <row r="858" spans="2:9" ht="21" customHeight="1" x14ac:dyDescent="0.3">
      <c r="B858" s="219" t="s">
        <v>291</v>
      </c>
      <c r="C858" s="219" t="s">
        <v>232</v>
      </c>
      <c r="D858" s="219" t="s">
        <v>241</v>
      </c>
      <c r="E858" s="219" t="s">
        <v>258</v>
      </c>
      <c r="F858" s="7">
        <v>45636</v>
      </c>
      <c r="H858" s="2">
        <v>0.5</v>
      </c>
      <c r="I858" s="220" t="s">
        <v>281</v>
      </c>
    </row>
    <row r="859" spans="2:9" ht="21" customHeight="1" x14ac:dyDescent="0.3">
      <c r="B859" s="219" t="s">
        <v>229</v>
      </c>
      <c r="C859" s="219" t="s">
        <v>232</v>
      </c>
      <c r="D859" s="219" t="s">
        <v>244</v>
      </c>
      <c r="E859" s="219" t="s">
        <v>258</v>
      </c>
      <c r="F859" s="7">
        <v>45617</v>
      </c>
      <c r="H859" s="2">
        <v>1</v>
      </c>
      <c r="I859" s="220" t="s">
        <v>258</v>
      </c>
    </row>
    <row r="860" spans="2:9" ht="21" customHeight="1" x14ac:dyDescent="0.3">
      <c r="B860" s="219" t="s">
        <v>229</v>
      </c>
      <c r="C860" s="219" t="s">
        <v>232</v>
      </c>
      <c r="D860" s="219" t="s">
        <v>244</v>
      </c>
      <c r="E860" s="219" t="s">
        <v>258</v>
      </c>
      <c r="F860" s="7">
        <v>45621</v>
      </c>
      <c r="H860" s="2">
        <v>1</v>
      </c>
      <c r="I860" s="220" t="s">
        <v>258</v>
      </c>
    </row>
    <row r="861" spans="2:9" ht="21" customHeight="1" x14ac:dyDescent="0.3">
      <c r="B861" s="218" t="s">
        <v>267</v>
      </c>
      <c r="C861" s="13" t="s">
        <v>232</v>
      </c>
      <c r="D861" s="13" t="s">
        <v>241</v>
      </c>
      <c r="E861" s="219" t="s">
        <v>258</v>
      </c>
      <c r="F861" s="7">
        <v>45611</v>
      </c>
      <c r="H861" s="2">
        <v>1</v>
      </c>
      <c r="I861" s="220" t="s">
        <v>258</v>
      </c>
    </row>
    <row r="862" spans="2:9" ht="21" customHeight="1" x14ac:dyDescent="0.3">
      <c r="B862" s="13" t="s">
        <v>337</v>
      </c>
      <c r="C862" s="13" t="s">
        <v>232</v>
      </c>
      <c r="D862" s="13" t="s">
        <v>244</v>
      </c>
      <c r="E862" s="219" t="s">
        <v>258</v>
      </c>
      <c r="F862" s="7">
        <v>45607</v>
      </c>
      <c r="H862" s="2">
        <v>1</v>
      </c>
      <c r="I862" s="220" t="s">
        <v>258</v>
      </c>
    </row>
    <row r="863" spans="2:9" ht="21" customHeight="1" x14ac:dyDescent="0.3">
      <c r="B863" s="13" t="s">
        <v>337</v>
      </c>
      <c r="C863" s="13" t="s">
        <v>232</v>
      </c>
      <c r="D863" s="13" t="s">
        <v>244</v>
      </c>
      <c r="E863" s="219" t="s">
        <v>258</v>
      </c>
      <c r="F863" s="7">
        <v>45625</v>
      </c>
      <c r="H863" s="2">
        <v>1</v>
      </c>
      <c r="I863" s="220" t="s">
        <v>258</v>
      </c>
    </row>
    <row r="864" spans="2:9" ht="21" customHeight="1" x14ac:dyDescent="0.3">
      <c r="B864" s="13" t="s">
        <v>358</v>
      </c>
      <c r="C864" s="13" t="s">
        <v>232</v>
      </c>
      <c r="D864" s="13" t="s">
        <v>244</v>
      </c>
      <c r="E864" s="219" t="s">
        <v>258</v>
      </c>
      <c r="F864" s="7">
        <v>45611</v>
      </c>
      <c r="H864" s="2">
        <v>1</v>
      </c>
      <c r="I864" s="220" t="s">
        <v>258</v>
      </c>
    </row>
    <row r="865" spans="2:9" ht="21" customHeight="1" x14ac:dyDescent="0.3">
      <c r="B865" s="13" t="s">
        <v>358</v>
      </c>
      <c r="C865" s="13" t="s">
        <v>232</v>
      </c>
      <c r="D865" s="13" t="s">
        <v>244</v>
      </c>
      <c r="E865" s="219" t="s">
        <v>258</v>
      </c>
      <c r="F865" s="7">
        <v>45614</v>
      </c>
      <c r="H865" s="2">
        <v>1</v>
      </c>
      <c r="I865" s="220" t="s">
        <v>258</v>
      </c>
    </row>
    <row r="866" spans="2:9" ht="21" customHeight="1" x14ac:dyDescent="0.3">
      <c r="B866" s="13" t="s">
        <v>219</v>
      </c>
      <c r="C866" s="13" t="s">
        <v>233</v>
      </c>
      <c r="D866" s="13" t="s">
        <v>241</v>
      </c>
      <c r="E866" s="219" t="s">
        <v>281</v>
      </c>
      <c r="F866" s="7">
        <v>45600</v>
      </c>
      <c r="H866" s="2">
        <v>0.5</v>
      </c>
      <c r="I866" s="220" t="s">
        <v>281</v>
      </c>
    </row>
    <row r="867" spans="2:9" ht="21" customHeight="1" x14ac:dyDescent="0.3">
      <c r="B867" s="13" t="s">
        <v>219</v>
      </c>
      <c r="C867" s="13" t="s">
        <v>233</v>
      </c>
      <c r="D867" s="13" t="s">
        <v>241</v>
      </c>
      <c r="E867" s="219" t="s">
        <v>281</v>
      </c>
      <c r="F867" s="7">
        <v>45602</v>
      </c>
      <c r="H867" s="2">
        <v>0.5</v>
      </c>
      <c r="I867" s="220" t="s">
        <v>281</v>
      </c>
    </row>
    <row r="868" spans="2:9" ht="21" customHeight="1" x14ac:dyDescent="0.3">
      <c r="B868" s="13" t="s">
        <v>228</v>
      </c>
      <c r="C868" s="13" t="s">
        <v>233</v>
      </c>
      <c r="D868" s="13" t="s">
        <v>246</v>
      </c>
      <c r="E868" s="219" t="s">
        <v>281</v>
      </c>
      <c r="F868" s="7">
        <v>45603</v>
      </c>
      <c r="H868" s="2">
        <v>0.5</v>
      </c>
      <c r="I868" s="220" t="s">
        <v>281</v>
      </c>
    </row>
    <row r="869" spans="2:9" ht="21" customHeight="1" x14ac:dyDescent="0.3">
      <c r="B869" s="13" t="s">
        <v>231</v>
      </c>
      <c r="C869" s="13" t="s">
        <v>235</v>
      </c>
      <c r="D869" s="13" t="s">
        <v>246</v>
      </c>
      <c r="E869" s="219" t="s">
        <v>258</v>
      </c>
      <c r="F869" s="7">
        <v>45611</v>
      </c>
      <c r="H869" s="2">
        <v>1</v>
      </c>
      <c r="I869" s="220" t="s">
        <v>258</v>
      </c>
    </row>
    <row r="870" spans="2:9" ht="21" customHeight="1" x14ac:dyDescent="0.3">
      <c r="B870" s="13" t="s">
        <v>222</v>
      </c>
      <c r="C870" s="13" t="s">
        <v>235</v>
      </c>
      <c r="D870" s="13" t="s">
        <v>243</v>
      </c>
      <c r="E870" s="219" t="s">
        <v>281</v>
      </c>
      <c r="F870" s="7">
        <v>45618</v>
      </c>
      <c r="H870" s="2">
        <v>0.5</v>
      </c>
      <c r="I870" s="220" t="s">
        <v>281</v>
      </c>
    </row>
    <row r="871" spans="2:9" ht="21" customHeight="1" x14ac:dyDescent="0.3">
      <c r="B871" s="13" t="s">
        <v>222</v>
      </c>
      <c r="C871" s="13" t="s">
        <v>235</v>
      </c>
      <c r="D871" s="13" t="s">
        <v>243</v>
      </c>
      <c r="E871" s="219" t="s">
        <v>258</v>
      </c>
      <c r="F871" s="7">
        <v>45607</v>
      </c>
      <c r="H871" s="2">
        <v>1</v>
      </c>
      <c r="I871" s="220" t="s">
        <v>258</v>
      </c>
    </row>
    <row r="872" spans="2:9" ht="21" customHeight="1" x14ac:dyDescent="0.3">
      <c r="B872" s="13" t="s">
        <v>348</v>
      </c>
      <c r="C872" s="13" t="s">
        <v>232</v>
      </c>
      <c r="D872" s="13" t="s">
        <v>246</v>
      </c>
      <c r="E872" s="219" t="s">
        <v>258</v>
      </c>
      <c r="F872" s="7">
        <v>45600</v>
      </c>
      <c r="H872" s="2">
        <v>1</v>
      </c>
      <c r="I872" s="220" t="s">
        <v>258</v>
      </c>
    </row>
    <row r="873" spans="2:9" ht="21" customHeight="1" x14ac:dyDescent="0.3">
      <c r="B873" s="13" t="s">
        <v>348</v>
      </c>
      <c r="C873" s="13" t="s">
        <v>232</v>
      </c>
      <c r="D873" s="13" t="s">
        <v>246</v>
      </c>
      <c r="E873" s="219" t="s">
        <v>258</v>
      </c>
      <c r="F873" s="7">
        <v>45621</v>
      </c>
      <c r="H873" s="2">
        <v>1</v>
      </c>
      <c r="I873" s="220" t="s">
        <v>258</v>
      </c>
    </row>
    <row r="874" spans="2:9" ht="21" customHeight="1" x14ac:dyDescent="0.3">
      <c r="B874" s="13" t="s">
        <v>351</v>
      </c>
      <c r="C874" s="13" t="s">
        <v>233</v>
      </c>
      <c r="D874" s="13" t="s">
        <v>246</v>
      </c>
      <c r="E874" s="219" t="s">
        <v>258</v>
      </c>
      <c r="F874" s="7">
        <v>45611</v>
      </c>
      <c r="H874" s="2">
        <v>1</v>
      </c>
      <c r="I874" s="220" t="s">
        <v>258</v>
      </c>
    </row>
    <row r="875" spans="2:9" ht="21" customHeight="1" x14ac:dyDescent="0.3">
      <c r="B875" s="13" t="s">
        <v>352</v>
      </c>
      <c r="C875" s="13" t="s">
        <v>233</v>
      </c>
      <c r="D875" s="13" t="s">
        <v>246</v>
      </c>
      <c r="E875" s="219" t="s">
        <v>258</v>
      </c>
      <c r="F875" s="7">
        <v>45604</v>
      </c>
      <c r="H875" s="2">
        <v>1</v>
      </c>
      <c r="I875" s="220" t="s">
        <v>258</v>
      </c>
    </row>
    <row r="876" spans="2:9" ht="21" customHeight="1" x14ac:dyDescent="0.3">
      <c r="B876" s="13" t="s">
        <v>353</v>
      </c>
      <c r="C876" s="13" t="s">
        <v>233</v>
      </c>
      <c r="D876" s="13" t="s">
        <v>246</v>
      </c>
      <c r="E876" s="219" t="s">
        <v>258</v>
      </c>
      <c r="F876" s="7">
        <v>45621</v>
      </c>
      <c r="H876" s="2">
        <v>1</v>
      </c>
      <c r="I876" s="220" t="s">
        <v>258</v>
      </c>
    </row>
    <row r="877" spans="2:9" ht="21" customHeight="1" x14ac:dyDescent="0.3">
      <c r="B877" s="13" t="s">
        <v>229</v>
      </c>
      <c r="C877" s="13" t="s">
        <v>232</v>
      </c>
      <c r="D877" s="13" t="s">
        <v>244</v>
      </c>
      <c r="E877" s="219" t="s">
        <v>258</v>
      </c>
      <c r="F877" s="7">
        <v>45635</v>
      </c>
      <c r="H877" s="2">
        <v>1</v>
      </c>
      <c r="I877" s="220" t="s">
        <v>258</v>
      </c>
    </row>
    <row r="878" spans="2:9" ht="21" customHeight="1" x14ac:dyDescent="0.3">
      <c r="B878" s="13" t="s">
        <v>267</v>
      </c>
      <c r="C878" s="13" t="s">
        <v>232</v>
      </c>
      <c r="D878" s="13" t="s">
        <v>241</v>
      </c>
      <c r="E878" s="219" t="s">
        <v>258</v>
      </c>
      <c r="F878" s="7">
        <v>45637</v>
      </c>
      <c r="H878" s="2">
        <v>1</v>
      </c>
      <c r="I878" s="220" t="s">
        <v>258</v>
      </c>
    </row>
    <row r="879" spans="2:9" ht="21" customHeight="1" x14ac:dyDescent="0.3">
      <c r="B879" s="13" t="s">
        <v>267</v>
      </c>
      <c r="C879" s="13" t="s">
        <v>232</v>
      </c>
      <c r="D879" s="13" t="s">
        <v>241</v>
      </c>
      <c r="E879" s="219" t="s">
        <v>258</v>
      </c>
      <c r="F879" s="7">
        <v>45639</v>
      </c>
      <c r="H879" s="2">
        <v>1</v>
      </c>
      <c r="I879" s="220" t="s">
        <v>258</v>
      </c>
    </row>
    <row r="880" spans="2:9" ht="21" customHeight="1" x14ac:dyDescent="0.3">
      <c r="B880" s="13" t="s">
        <v>267</v>
      </c>
      <c r="C880" s="13" t="s">
        <v>232</v>
      </c>
      <c r="D880" s="13" t="s">
        <v>241</v>
      </c>
      <c r="E880" s="219" t="s">
        <v>258</v>
      </c>
      <c r="F880" s="7">
        <v>45639</v>
      </c>
      <c r="H880" s="2">
        <v>1</v>
      </c>
      <c r="I880" s="220" t="s">
        <v>258</v>
      </c>
    </row>
    <row r="881" spans="2:9" ht="21" customHeight="1" x14ac:dyDescent="0.3">
      <c r="B881" s="13" t="s">
        <v>267</v>
      </c>
      <c r="C881" s="13" t="s">
        <v>232</v>
      </c>
      <c r="D881" s="13" t="s">
        <v>241</v>
      </c>
      <c r="E881" s="219" t="s">
        <v>258</v>
      </c>
      <c r="F881" s="7">
        <v>45644</v>
      </c>
      <c r="H881" s="2">
        <v>1</v>
      </c>
      <c r="I881" s="220" t="s">
        <v>258</v>
      </c>
    </row>
    <row r="882" spans="2:9" ht="21" customHeight="1" x14ac:dyDescent="0.3">
      <c r="B882" s="13" t="s">
        <v>267</v>
      </c>
      <c r="C882" s="13" t="s">
        <v>232</v>
      </c>
      <c r="D882" s="13" t="s">
        <v>241</v>
      </c>
      <c r="E882" s="219" t="s">
        <v>258</v>
      </c>
      <c r="F882" s="7">
        <v>45652</v>
      </c>
      <c r="H882" s="2">
        <v>1</v>
      </c>
      <c r="I882" s="220" t="s">
        <v>258</v>
      </c>
    </row>
    <row r="883" spans="2:9" ht="21" customHeight="1" x14ac:dyDescent="0.3">
      <c r="B883" s="13" t="s">
        <v>267</v>
      </c>
      <c r="C883" s="13" t="s">
        <v>232</v>
      </c>
      <c r="D883" s="13" t="s">
        <v>241</v>
      </c>
      <c r="E883" s="219" t="s">
        <v>258</v>
      </c>
      <c r="F883" s="7">
        <v>45656</v>
      </c>
      <c r="H883" s="2">
        <v>1</v>
      </c>
      <c r="I883" s="220" t="s">
        <v>258</v>
      </c>
    </row>
    <row r="884" spans="2:9" ht="21" customHeight="1" x14ac:dyDescent="0.3">
      <c r="B884" s="13" t="s">
        <v>337</v>
      </c>
      <c r="C884" s="13" t="s">
        <v>232</v>
      </c>
      <c r="D884" s="13" t="s">
        <v>244</v>
      </c>
      <c r="E884" s="219" t="s">
        <v>258</v>
      </c>
      <c r="F884" s="7">
        <v>45628</v>
      </c>
      <c r="H884" s="2">
        <v>1</v>
      </c>
      <c r="I884" s="220" t="s">
        <v>258</v>
      </c>
    </row>
    <row r="885" spans="2:9" ht="21" customHeight="1" x14ac:dyDescent="0.3">
      <c r="B885" s="13" t="s">
        <v>337</v>
      </c>
      <c r="C885" s="13" t="s">
        <v>232</v>
      </c>
      <c r="D885" s="13" t="s">
        <v>244</v>
      </c>
      <c r="E885" s="219" t="s">
        <v>258</v>
      </c>
      <c r="F885" s="7">
        <v>45632</v>
      </c>
      <c r="H885" s="2">
        <v>1</v>
      </c>
      <c r="I885" s="220" t="s">
        <v>258</v>
      </c>
    </row>
    <row r="886" spans="2:9" ht="21" customHeight="1" x14ac:dyDescent="0.3">
      <c r="B886" s="13" t="s">
        <v>337</v>
      </c>
      <c r="C886" s="13" t="s">
        <v>232</v>
      </c>
      <c r="D886" s="13" t="s">
        <v>244</v>
      </c>
      <c r="E886" s="219" t="s">
        <v>258</v>
      </c>
      <c r="F886" s="7">
        <v>45646</v>
      </c>
      <c r="H886" s="2">
        <v>1</v>
      </c>
      <c r="I886" s="220" t="s">
        <v>258</v>
      </c>
    </row>
    <row r="887" spans="2:9" ht="21" customHeight="1" x14ac:dyDescent="0.3">
      <c r="B887" s="13" t="s">
        <v>337</v>
      </c>
      <c r="C887" s="13" t="s">
        <v>232</v>
      </c>
      <c r="D887" s="13" t="s">
        <v>244</v>
      </c>
      <c r="E887" s="219" t="s">
        <v>258</v>
      </c>
      <c r="F887" s="7">
        <v>45650</v>
      </c>
      <c r="H887" s="2">
        <v>1</v>
      </c>
      <c r="I887" s="220" t="s">
        <v>258</v>
      </c>
    </row>
    <row r="888" spans="2:9" ht="21" customHeight="1" x14ac:dyDescent="0.3">
      <c r="B888" s="13" t="s">
        <v>337</v>
      </c>
      <c r="C888" s="13" t="s">
        <v>232</v>
      </c>
      <c r="D888" s="13" t="s">
        <v>244</v>
      </c>
      <c r="E888" s="219" t="s">
        <v>258</v>
      </c>
      <c r="F888" s="7">
        <v>45653</v>
      </c>
      <c r="H888" s="2">
        <v>1</v>
      </c>
      <c r="I888" s="220" t="s">
        <v>258</v>
      </c>
    </row>
    <row r="889" spans="2:9" ht="21" customHeight="1" x14ac:dyDescent="0.3">
      <c r="B889" s="13" t="s">
        <v>337</v>
      </c>
      <c r="C889" s="13" t="s">
        <v>232</v>
      </c>
      <c r="D889" s="13" t="s">
        <v>244</v>
      </c>
      <c r="E889" s="219" t="s">
        <v>258</v>
      </c>
      <c r="F889" s="7">
        <v>45657</v>
      </c>
      <c r="H889" s="2">
        <v>1</v>
      </c>
      <c r="I889" s="220" t="s">
        <v>258</v>
      </c>
    </row>
    <row r="890" spans="2:9" ht="21" customHeight="1" x14ac:dyDescent="0.3">
      <c r="B890" s="13" t="s">
        <v>358</v>
      </c>
      <c r="C890" s="13" t="s">
        <v>232</v>
      </c>
      <c r="D890" s="13" t="s">
        <v>244</v>
      </c>
      <c r="E890" s="219" t="s">
        <v>258</v>
      </c>
      <c r="F890" s="7">
        <v>45649</v>
      </c>
      <c r="H890" s="2">
        <v>1</v>
      </c>
      <c r="I890" s="220" t="s">
        <v>258</v>
      </c>
    </row>
    <row r="891" spans="2:9" ht="21" customHeight="1" x14ac:dyDescent="0.3">
      <c r="B891" s="13" t="s">
        <v>219</v>
      </c>
      <c r="C891" s="13" t="s">
        <v>233</v>
      </c>
      <c r="D891" s="13" t="s">
        <v>241</v>
      </c>
      <c r="E891" s="219" t="s">
        <v>258</v>
      </c>
      <c r="F891" s="7">
        <v>45628</v>
      </c>
      <c r="H891" s="2">
        <v>1</v>
      </c>
      <c r="I891" s="220" t="s">
        <v>258</v>
      </c>
    </row>
    <row r="892" spans="2:9" ht="21" customHeight="1" x14ac:dyDescent="0.3">
      <c r="B892" s="13" t="s">
        <v>219</v>
      </c>
      <c r="C892" s="13" t="s">
        <v>233</v>
      </c>
      <c r="D892" s="13" t="s">
        <v>241</v>
      </c>
      <c r="E892" s="219" t="s">
        <v>258</v>
      </c>
      <c r="F892" s="7">
        <v>45645</v>
      </c>
      <c r="H892" s="2">
        <v>1</v>
      </c>
      <c r="I892" s="220" t="s">
        <v>258</v>
      </c>
    </row>
    <row r="893" spans="2:9" ht="21" customHeight="1" x14ac:dyDescent="0.3">
      <c r="B893" s="13" t="s">
        <v>219</v>
      </c>
      <c r="C893" s="13" t="s">
        <v>233</v>
      </c>
      <c r="D893" s="13" t="s">
        <v>241</v>
      </c>
      <c r="E893" s="219" t="s">
        <v>258</v>
      </c>
      <c r="F893" s="7">
        <v>45646</v>
      </c>
      <c r="H893" s="2">
        <v>1</v>
      </c>
      <c r="I893" s="220" t="s">
        <v>258</v>
      </c>
    </row>
    <row r="894" spans="2:9" ht="21" customHeight="1" x14ac:dyDescent="0.3">
      <c r="B894" s="13" t="s">
        <v>228</v>
      </c>
      <c r="C894" s="13" t="s">
        <v>233</v>
      </c>
      <c r="D894" s="13" t="s">
        <v>246</v>
      </c>
      <c r="E894" s="219" t="s">
        <v>281</v>
      </c>
      <c r="F894" s="7">
        <v>45632</v>
      </c>
      <c r="H894" s="2">
        <v>0.5</v>
      </c>
      <c r="I894" s="220" t="s">
        <v>281</v>
      </c>
    </row>
    <row r="895" spans="2:9" ht="21" customHeight="1" x14ac:dyDescent="0.3">
      <c r="B895" s="13" t="s">
        <v>228</v>
      </c>
      <c r="C895" s="13" t="s">
        <v>233</v>
      </c>
      <c r="D895" s="13" t="s">
        <v>246</v>
      </c>
      <c r="E895" s="219" t="s">
        <v>258</v>
      </c>
      <c r="F895" s="7">
        <v>45649</v>
      </c>
      <c r="H895" s="2">
        <v>1</v>
      </c>
      <c r="I895" s="220" t="s">
        <v>258</v>
      </c>
    </row>
    <row r="896" spans="2:9" ht="21" customHeight="1" x14ac:dyDescent="0.3">
      <c r="B896" s="13" t="s">
        <v>228</v>
      </c>
      <c r="C896" s="13" t="s">
        <v>233</v>
      </c>
      <c r="D896" s="13" t="s">
        <v>246</v>
      </c>
      <c r="E896" s="219" t="s">
        <v>258</v>
      </c>
      <c r="F896" s="7">
        <v>45657</v>
      </c>
      <c r="H896" s="2">
        <v>1</v>
      </c>
      <c r="I896" s="220" t="s">
        <v>258</v>
      </c>
    </row>
    <row r="897" spans="2:9" ht="21" customHeight="1" x14ac:dyDescent="0.3">
      <c r="B897" s="13" t="s">
        <v>231</v>
      </c>
      <c r="C897" s="13" t="s">
        <v>235</v>
      </c>
      <c r="D897" s="13" t="s">
        <v>246</v>
      </c>
      <c r="E897" s="219" t="s">
        <v>258</v>
      </c>
      <c r="F897" s="7">
        <v>45637</v>
      </c>
      <c r="H897" s="2">
        <v>1</v>
      </c>
      <c r="I897" s="220" t="s">
        <v>258</v>
      </c>
    </row>
    <row r="898" spans="2:9" ht="21" customHeight="1" x14ac:dyDescent="0.3">
      <c r="B898" s="13" t="s">
        <v>231</v>
      </c>
      <c r="C898" s="13" t="s">
        <v>235</v>
      </c>
      <c r="D898" s="13" t="s">
        <v>246</v>
      </c>
      <c r="E898" s="219" t="s">
        <v>258</v>
      </c>
      <c r="F898" s="7">
        <v>45642</v>
      </c>
      <c r="H898" s="2">
        <v>1</v>
      </c>
      <c r="I898" s="220" t="s">
        <v>258</v>
      </c>
    </row>
    <row r="899" spans="2:9" ht="21" customHeight="1" x14ac:dyDescent="0.3">
      <c r="B899" s="13" t="s">
        <v>222</v>
      </c>
      <c r="C899" s="13" t="s">
        <v>235</v>
      </c>
      <c r="D899" s="13" t="s">
        <v>243</v>
      </c>
      <c r="E899" s="219" t="s">
        <v>258</v>
      </c>
      <c r="F899" s="7">
        <v>45642</v>
      </c>
      <c r="H899" s="2">
        <v>1</v>
      </c>
      <c r="I899" s="220" t="s">
        <v>258</v>
      </c>
    </row>
    <row r="900" spans="2:9" ht="21" customHeight="1" x14ac:dyDescent="0.3">
      <c r="B900" s="13" t="s">
        <v>348</v>
      </c>
      <c r="C900" s="13" t="s">
        <v>232</v>
      </c>
      <c r="D900" s="13" t="s">
        <v>246</v>
      </c>
      <c r="E900" s="219" t="s">
        <v>281</v>
      </c>
      <c r="F900" s="7">
        <v>45645</v>
      </c>
      <c r="H900" s="2">
        <v>0.5</v>
      </c>
      <c r="I900" s="220" t="s">
        <v>281</v>
      </c>
    </row>
    <row r="901" spans="2:9" ht="21" customHeight="1" x14ac:dyDescent="0.3">
      <c r="B901" s="13" t="s">
        <v>348</v>
      </c>
      <c r="C901" s="13" t="s">
        <v>232</v>
      </c>
      <c r="D901" s="13" t="s">
        <v>246</v>
      </c>
      <c r="E901" s="219" t="s">
        <v>258</v>
      </c>
      <c r="F901" s="7">
        <v>45646</v>
      </c>
      <c r="H901" s="2">
        <v>1</v>
      </c>
      <c r="I901" s="220" t="s">
        <v>258</v>
      </c>
    </row>
    <row r="902" spans="2:9" ht="21" customHeight="1" x14ac:dyDescent="0.3">
      <c r="B902" s="13" t="s">
        <v>351</v>
      </c>
      <c r="C902" s="13" t="s">
        <v>233</v>
      </c>
      <c r="D902" s="13" t="s">
        <v>246</v>
      </c>
      <c r="E902" s="219" t="s">
        <v>258</v>
      </c>
      <c r="F902" s="7">
        <v>45653</v>
      </c>
      <c r="H902" s="2">
        <v>1</v>
      </c>
      <c r="I902" s="220" t="s">
        <v>258</v>
      </c>
    </row>
    <row r="903" spans="2:9" ht="21" customHeight="1" x14ac:dyDescent="0.3">
      <c r="B903" s="13" t="s">
        <v>352</v>
      </c>
      <c r="C903" s="13" t="s">
        <v>233</v>
      </c>
      <c r="D903" s="13" t="s">
        <v>246</v>
      </c>
      <c r="E903" s="219" t="s">
        <v>258</v>
      </c>
      <c r="F903" s="7">
        <v>45653</v>
      </c>
      <c r="H903" s="2">
        <v>1</v>
      </c>
      <c r="I903" s="220" t="s">
        <v>258</v>
      </c>
    </row>
    <row r="904" spans="2:9" ht="21" customHeight="1" x14ac:dyDescent="0.3">
      <c r="B904" s="13" t="s">
        <v>219</v>
      </c>
      <c r="C904" s="13" t="s">
        <v>233</v>
      </c>
      <c r="D904" s="13" t="s">
        <v>241</v>
      </c>
      <c r="E904" s="219" t="s">
        <v>258</v>
      </c>
      <c r="F904" s="7">
        <v>45688</v>
      </c>
      <c r="H904" s="2">
        <v>1</v>
      </c>
      <c r="I904" s="220" t="s">
        <v>258</v>
      </c>
    </row>
    <row r="905" spans="2:9" ht="21" customHeight="1" x14ac:dyDescent="0.3">
      <c r="B905" s="13" t="s">
        <v>228</v>
      </c>
      <c r="C905" s="13" t="s">
        <v>233</v>
      </c>
      <c r="D905" s="13" t="s">
        <v>246</v>
      </c>
      <c r="E905" s="219" t="s">
        <v>258</v>
      </c>
      <c r="F905" s="7">
        <v>45688</v>
      </c>
      <c r="H905" s="2">
        <v>1</v>
      </c>
      <c r="I905" s="220" t="s">
        <v>258</v>
      </c>
    </row>
    <row r="906" spans="2:9" ht="21" customHeight="1" x14ac:dyDescent="0.3">
      <c r="B906" s="13" t="s">
        <v>229</v>
      </c>
      <c r="C906" s="13" t="s">
        <v>232</v>
      </c>
      <c r="D906" s="13" t="s">
        <v>244</v>
      </c>
      <c r="E906" s="219" t="s">
        <v>258</v>
      </c>
      <c r="F906" s="7">
        <v>45688</v>
      </c>
      <c r="H906" s="2">
        <v>1</v>
      </c>
      <c r="I906" s="220" t="s">
        <v>258</v>
      </c>
    </row>
    <row r="907" spans="2:9" ht="21" customHeight="1" x14ac:dyDescent="0.3">
      <c r="B907" s="13" t="s">
        <v>267</v>
      </c>
      <c r="C907" s="13" t="s">
        <v>232</v>
      </c>
      <c r="D907" s="13" t="s">
        <v>241</v>
      </c>
      <c r="E907" s="219" t="s">
        <v>258</v>
      </c>
      <c r="F907" s="7">
        <v>45688</v>
      </c>
      <c r="H907" s="2">
        <v>1</v>
      </c>
      <c r="I907" s="220" t="s">
        <v>258</v>
      </c>
    </row>
    <row r="908" spans="2:9" ht="21" customHeight="1" x14ac:dyDescent="0.3">
      <c r="B908" s="13" t="s">
        <v>291</v>
      </c>
      <c r="C908" s="13" t="s">
        <v>232</v>
      </c>
      <c r="D908" s="13" t="s">
        <v>241</v>
      </c>
      <c r="E908" s="219" t="s">
        <v>258</v>
      </c>
      <c r="F908" s="7">
        <v>45688</v>
      </c>
      <c r="H908" s="2">
        <v>1</v>
      </c>
      <c r="I908" s="220" t="s">
        <v>258</v>
      </c>
    </row>
    <row r="909" spans="2:9" ht="21" customHeight="1" x14ac:dyDescent="0.3">
      <c r="B909" s="13" t="s">
        <v>222</v>
      </c>
      <c r="C909" s="13" t="s">
        <v>235</v>
      </c>
      <c r="D909" s="13" t="s">
        <v>243</v>
      </c>
      <c r="E909" s="219" t="s">
        <v>258</v>
      </c>
      <c r="F909" s="7">
        <v>45688</v>
      </c>
      <c r="H909" s="2">
        <v>1</v>
      </c>
      <c r="I909" s="220" t="s">
        <v>258</v>
      </c>
    </row>
    <row r="910" spans="2:9" ht="21" customHeight="1" x14ac:dyDescent="0.3">
      <c r="B910" s="13" t="s">
        <v>230</v>
      </c>
      <c r="C910" s="13" t="s">
        <v>234</v>
      </c>
      <c r="D910" s="13" t="s">
        <v>247</v>
      </c>
      <c r="E910" s="219" t="s">
        <v>258</v>
      </c>
      <c r="F910" s="7">
        <v>45688</v>
      </c>
      <c r="H910" s="2">
        <v>1</v>
      </c>
      <c r="I910" s="220" t="s">
        <v>258</v>
      </c>
    </row>
    <row r="911" spans="2:9" ht="21" customHeight="1" x14ac:dyDescent="0.3">
      <c r="B911" s="13" t="s">
        <v>231</v>
      </c>
      <c r="C911" s="13" t="s">
        <v>235</v>
      </c>
      <c r="D911" s="13" t="s">
        <v>246</v>
      </c>
      <c r="E911" s="219" t="s">
        <v>258</v>
      </c>
      <c r="F911" s="7">
        <v>45688</v>
      </c>
      <c r="H911" s="2">
        <v>1</v>
      </c>
      <c r="I911" s="220" t="s">
        <v>258</v>
      </c>
    </row>
    <row r="912" spans="2:9" ht="21" customHeight="1" x14ac:dyDescent="0.3">
      <c r="B912" s="13" t="s">
        <v>337</v>
      </c>
      <c r="C912" s="13" t="s">
        <v>232</v>
      </c>
      <c r="D912" s="13" t="s">
        <v>244</v>
      </c>
      <c r="E912" s="219" t="s">
        <v>258</v>
      </c>
      <c r="F912" s="7">
        <v>45688</v>
      </c>
      <c r="H912" s="2">
        <v>1</v>
      </c>
      <c r="I912" s="220" t="s">
        <v>258</v>
      </c>
    </row>
    <row r="913" spans="2:9" ht="21" customHeight="1" x14ac:dyDescent="0.3">
      <c r="B913" s="13" t="s">
        <v>348</v>
      </c>
      <c r="C913" s="13" t="s">
        <v>232</v>
      </c>
      <c r="D913" s="13" t="s">
        <v>246</v>
      </c>
      <c r="E913" s="219" t="s">
        <v>258</v>
      </c>
      <c r="F913" s="7">
        <v>45688</v>
      </c>
      <c r="H913" s="2">
        <v>1</v>
      </c>
      <c r="I913" s="220" t="s">
        <v>258</v>
      </c>
    </row>
    <row r="914" spans="2:9" ht="21" customHeight="1" x14ac:dyDescent="0.3">
      <c r="B914" s="13" t="s">
        <v>352</v>
      </c>
      <c r="C914" s="13" t="s">
        <v>233</v>
      </c>
      <c r="D914" s="13" t="s">
        <v>246</v>
      </c>
      <c r="E914" s="219" t="s">
        <v>258</v>
      </c>
      <c r="F914" s="7">
        <v>45688</v>
      </c>
      <c r="H914" s="2">
        <v>1</v>
      </c>
      <c r="I914" s="220" t="s">
        <v>258</v>
      </c>
    </row>
    <row r="915" spans="2:9" ht="21" customHeight="1" x14ac:dyDescent="0.3">
      <c r="B915" s="13" t="s">
        <v>358</v>
      </c>
      <c r="C915" s="13" t="s">
        <v>232</v>
      </c>
      <c r="D915" s="13" t="s">
        <v>244</v>
      </c>
      <c r="E915" s="219" t="s">
        <v>258</v>
      </c>
      <c r="F915" s="7">
        <v>45688</v>
      </c>
      <c r="H915" s="2">
        <v>1</v>
      </c>
      <c r="I915" s="220" t="s">
        <v>258</v>
      </c>
    </row>
    <row r="916" spans="2:9" ht="21" customHeight="1" x14ac:dyDescent="0.3">
      <c r="B916" s="13" t="s">
        <v>353</v>
      </c>
      <c r="C916" s="13" t="s">
        <v>233</v>
      </c>
      <c r="D916" s="13" t="s">
        <v>246</v>
      </c>
      <c r="E916" s="219" t="s">
        <v>258</v>
      </c>
      <c r="F916" s="7">
        <v>45688</v>
      </c>
      <c r="H916" s="2">
        <v>1</v>
      </c>
      <c r="I916" s="220" t="s">
        <v>258</v>
      </c>
    </row>
    <row r="917" spans="2:9" ht="21" customHeight="1" x14ac:dyDescent="0.3">
      <c r="B917" s="13" t="s">
        <v>369</v>
      </c>
      <c r="C917" s="13" t="s">
        <v>234</v>
      </c>
      <c r="D917" s="13" t="s">
        <v>247</v>
      </c>
      <c r="E917" s="219" t="s">
        <v>258</v>
      </c>
      <c r="F917" s="7">
        <v>45688</v>
      </c>
      <c r="H917" s="2">
        <v>1</v>
      </c>
      <c r="I917" s="220" t="s">
        <v>258</v>
      </c>
    </row>
    <row r="918" spans="2:9" ht="21" customHeight="1" x14ac:dyDescent="0.3">
      <c r="B918" s="13" t="s">
        <v>337</v>
      </c>
      <c r="C918" s="13" t="s">
        <v>232</v>
      </c>
      <c r="D918" s="13" t="s">
        <v>244</v>
      </c>
      <c r="E918" s="219" t="s">
        <v>258</v>
      </c>
      <c r="F918" s="7">
        <v>45663</v>
      </c>
      <c r="H918" s="2">
        <v>1</v>
      </c>
      <c r="I918" s="220" t="s">
        <v>258</v>
      </c>
    </row>
    <row r="919" spans="2:9" ht="21" customHeight="1" x14ac:dyDescent="0.3">
      <c r="B919" s="13" t="s">
        <v>358</v>
      </c>
      <c r="C919" s="13" t="s">
        <v>232</v>
      </c>
      <c r="D919" s="13" t="s">
        <v>244</v>
      </c>
      <c r="E919" s="219" t="s">
        <v>258</v>
      </c>
      <c r="F919" s="7">
        <v>45667</v>
      </c>
      <c r="H919" s="2">
        <v>1</v>
      </c>
      <c r="I919" s="220" t="s">
        <v>258</v>
      </c>
    </row>
    <row r="920" spans="2:9" ht="21" customHeight="1" x14ac:dyDescent="0.3">
      <c r="B920" s="13" t="s">
        <v>222</v>
      </c>
      <c r="C920" s="13" t="s">
        <v>235</v>
      </c>
      <c r="D920" s="13" t="s">
        <v>243</v>
      </c>
      <c r="E920" s="219" t="s">
        <v>281</v>
      </c>
      <c r="F920" s="7">
        <v>45674</v>
      </c>
      <c r="H920" s="2">
        <v>0.5</v>
      </c>
      <c r="I920" s="220" t="s">
        <v>281</v>
      </c>
    </row>
    <row r="921" spans="2:9" ht="21" customHeight="1" x14ac:dyDescent="0.3">
      <c r="B921" s="13" t="s">
        <v>358</v>
      </c>
      <c r="C921" s="13" t="s">
        <v>232</v>
      </c>
      <c r="D921" s="13" t="s">
        <v>244</v>
      </c>
      <c r="E921" s="219" t="s">
        <v>258</v>
      </c>
      <c r="F921" s="7">
        <v>45715</v>
      </c>
      <c r="H921" s="2">
        <v>1</v>
      </c>
      <c r="I921" s="220" t="s">
        <v>258</v>
      </c>
    </row>
    <row r="922" spans="2:9" ht="21" customHeight="1" x14ac:dyDescent="0.3">
      <c r="B922" s="13" t="s">
        <v>358</v>
      </c>
      <c r="C922" s="13" t="s">
        <v>232</v>
      </c>
      <c r="D922" s="13" t="s">
        <v>244</v>
      </c>
      <c r="E922" s="219" t="s">
        <v>258</v>
      </c>
      <c r="F922" s="7">
        <v>45716</v>
      </c>
      <c r="H922" s="2">
        <v>1</v>
      </c>
      <c r="I922" s="220" t="s">
        <v>258</v>
      </c>
    </row>
    <row r="923" spans="2:9" ht="21" customHeight="1" x14ac:dyDescent="0.3">
      <c r="B923" s="13" t="s">
        <v>219</v>
      </c>
      <c r="C923" s="13" t="s">
        <v>233</v>
      </c>
      <c r="D923" s="13" t="s">
        <v>241</v>
      </c>
      <c r="E923" s="219" t="s">
        <v>281</v>
      </c>
      <c r="F923" s="7">
        <v>45714</v>
      </c>
      <c r="H923" s="2">
        <v>0.5</v>
      </c>
      <c r="I923" s="220" t="s">
        <v>281</v>
      </c>
    </row>
    <row r="924" spans="2:9" ht="21" customHeight="1" x14ac:dyDescent="0.3">
      <c r="B924" s="13" t="s">
        <v>228</v>
      </c>
      <c r="C924" s="13" t="s">
        <v>233</v>
      </c>
      <c r="D924" s="13" t="s">
        <v>246</v>
      </c>
      <c r="E924" s="219" t="s">
        <v>258</v>
      </c>
      <c r="F924" s="7">
        <v>45716</v>
      </c>
      <c r="H924" s="2">
        <v>1</v>
      </c>
      <c r="I924" s="220" t="s">
        <v>258</v>
      </c>
    </row>
    <row r="925" spans="2:9" ht="21" customHeight="1" x14ac:dyDescent="0.3">
      <c r="B925" s="13" t="s">
        <v>352</v>
      </c>
      <c r="C925" s="13" t="s">
        <v>233</v>
      </c>
      <c r="D925" s="13" t="s">
        <v>246</v>
      </c>
      <c r="E925" s="219" t="s">
        <v>258</v>
      </c>
      <c r="F925" s="7">
        <v>45714</v>
      </c>
      <c r="H925" s="2">
        <v>1</v>
      </c>
      <c r="I925" s="220" t="s">
        <v>258</v>
      </c>
    </row>
    <row r="926" spans="2:9" ht="21" customHeight="1" x14ac:dyDescent="0.3">
      <c r="B926" s="13" t="s">
        <v>222</v>
      </c>
      <c r="C926" s="13" t="s">
        <v>235</v>
      </c>
      <c r="D926" s="13" t="s">
        <v>243</v>
      </c>
      <c r="E926" s="219" t="s">
        <v>281</v>
      </c>
      <c r="F926" s="7">
        <v>45702</v>
      </c>
      <c r="H926" s="2">
        <v>0.5</v>
      </c>
      <c r="I926" s="220" t="s">
        <v>281</v>
      </c>
    </row>
    <row r="927" spans="2:9" ht="21" customHeight="1" x14ac:dyDescent="0.3">
      <c r="B927" s="13" t="s">
        <v>358</v>
      </c>
      <c r="C927" s="13" t="s">
        <v>232</v>
      </c>
      <c r="D927" s="13" t="s">
        <v>244</v>
      </c>
      <c r="E927" s="219" t="s">
        <v>258</v>
      </c>
      <c r="F927" s="7">
        <v>45723</v>
      </c>
      <c r="H927" s="2">
        <v>1</v>
      </c>
      <c r="I927" s="220" t="s">
        <v>258</v>
      </c>
    </row>
    <row r="928" spans="2:9" ht="21" customHeight="1" x14ac:dyDescent="0.3">
      <c r="B928" s="13" t="s">
        <v>219</v>
      </c>
      <c r="C928" s="13" t="s">
        <v>233</v>
      </c>
      <c r="D928" s="13" t="s">
        <v>241</v>
      </c>
      <c r="E928" s="219" t="s">
        <v>258</v>
      </c>
      <c r="F928" s="7">
        <v>45723</v>
      </c>
      <c r="H928" s="2">
        <v>1</v>
      </c>
      <c r="I928" s="220" t="s">
        <v>258</v>
      </c>
    </row>
    <row r="929" spans="2:9" ht="21" customHeight="1" x14ac:dyDescent="0.3">
      <c r="B929" s="13" t="s">
        <v>222</v>
      </c>
      <c r="C929" s="13" t="s">
        <v>235</v>
      </c>
      <c r="D929" s="13" t="s">
        <v>243</v>
      </c>
      <c r="E929" s="219" t="s">
        <v>281</v>
      </c>
      <c r="F929" s="7">
        <v>45730</v>
      </c>
      <c r="H929" s="2">
        <v>0.5</v>
      </c>
      <c r="I929" s="220" t="s">
        <v>281</v>
      </c>
    </row>
    <row r="930" spans="2:9" ht="21" customHeight="1" x14ac:dyDescent="0.3">
      <c r="B930" s="13" t="s">
        <v>222</v>
      </c>
      <c r="C930" s="13" t="s">
        <v>235</v>
      </c>
      <c r="D930" s="13" t="s">
        <v>243</v>
      </c>
      <c r="E930" s="219" t="s">
        <v>258</v>
      </c>
      <c r="F930" s="7">
        <v>45737</v>
      </c>
      <c r="H930" s="2">
        <v>1</v>
      </c>
      <c r="I930" s="220" t="s">
        <v>258</v>
      </c>
    </row>
    <row r="931" spans="2:9" ht="21" customHeight="1" x14ac:dyDescent="0.3">
      <c r="B931" s="13" t="s">
        <v>353</v>
      </c>
      <c r="C931" s="13" t="s">
        <v>233</v>
      </c>
      <c r="D931" s="13" t="s">
        <v>246</v>
      </c>
      <c r="E931" s="219" t="s">
        <v>258</v>
      </c>
      <c r="F931" s="7">
        <v>45737</v>
      </c>
      <c r="H931" s="2">
        <v>1</v>
      </c>
      <c r="I931" s="220" t="s">
        <v>258</v>
      </c>
    </row>
    <row r="932" spans="2:9" ht="21" customHeight="1" x14ac:dyDescent="0.3">
      <c r="B932" s="13" t="s">
        <v>229</v>
      </c>
      <c r="C932" s="13" t="s">
        <v>232</v>
      </c>
      <c r="D932" s="13" t="s">
        <v>244</v>
      </c>
      <c r="E932" s="219" t="s">
        <v>258</v>
      </c>
      <c r="F932" s="7">
        <v>45758</v>
      </c>
      <c r="H932" s="2">
        <v>1</v>
      </c>
      <c r="I932" s="220" t="s">
        <v>258</v>
      </c>
    </row>
    <row r="933" spans="2:9" ht="21" customHeight="1" x14ac:dyDescent="0.3">
      <c r="B933" s="13" t="s">
        <v>337</v>
      </c>
      <c r="C933" s="13" t="s">
        <v>232</v>
      </c>
      <c r="D933" s="13" t="s">
        <v>244</v>
      </c>
      <c r="E933" s="219" t="s">
        <v>258</v>
      </c>
      <c r="F933" s="7">
        <v>45751</v>
      </c>
      <c r="H933" s="2">
        <v>1</v>
      </c>
      <c r="I933" s="220" t="s">
        <v>258</v>
      </c>
    </row>
    <row r="934" spans="2:9" ht="21" customHeight="1" x14ac:dyDescent="0.3">
      <c r="B934" s="13" t="s">
        <v>337</v>
      </c>
      <c r="C934" s="13" t="s">
        <v>232</v>
      </c>
      <c r="D934" s="13" t="s">
        <v>244</v>
      </c>
      <c r="E934" s="219" t="s">
        <v>258</v>
      </c>
      <c r="F934" s="7">
        <v>45765</v>
      </c>
      <c r="H934" s="2">
        <v>1</v>
      </c>
      <c r="I934" s="220" t="s">
        <v>258</v>
      </c>
    </row>
    <row r="935" spans="2:9" ht="21" customHeight="1" x14ac:dyDescent="0.3">
      <c r="B935" s="13" t="s">
        <v>358</v>
      </c>
      <c r="C935" s="13" t="s">
        <v>232</v>
      </c>
      <c r="D935" s="13" t="s">
        <v>244</v>
      </c>
      <c r="E935" s="219" t="s">
        <v>258</v>
      </c>
      <c r="F935" s="7">
        <v>45768</v>
      </c>
      <c r="H935" s="2">
        <v>1</v>
      </c>
      <c r="I935" s="220" t="s">
        <v>258</v>
      </c>
    </row>
    <row r="936" spans="2:9" ht="21" customHeight="1" x14ac:dyDescent="0.3">
      <c r="B936" s="13" t="s">
        <v>219</v>
      </c>
      <c r="C936" s="13" t="s">
        <v>233</v>
      </c>
      <c r="D936" s="13" t="s">
        <v>241</v>
      </c>
      <c r="E936" s="219" t="s">
        <v>281</v>
      </c>
      <c r="F936" s="7">
        <v>45751</v>
      </c>
      <c r="H936" s="2">
        <v>0.5</v>
      </c>
      <c r="I936" s="220" t="s">
        <v>281</v>
      </c>
    </row>
    <row r="937" spans="2:9" ht="21" customHeight="1" x14ac:dyDescent="0.3">
      <c r="B937" s="13" t="s">
        <v>228</v>
      </c>
      <c r="C937" s="13" t="s">
        <v>233</v>
      </c>
      <c r="D937" s="13" t="s">
        <v>246</v>
      </c>
      <c r="E937" s="219" t="s">
        <v>258</v>
      </c>
      <c r="F937" s="7">
        <v>45758</v>
      </c>
      <c r="H937" s="2">
        <v>1</v>
      </c>
      <c r="I937" s="220" t="s">
        <v>258</v>
      </c>
    </row>
    <row r="938" spans="2:9" ht="21" customHeight="1" x14ac:dyDescent="0.3">
      <c r="B938" s="13" t="s">
        <v>231</v>
      </c>
      <c r="C938" s="13" t="s">
        <v>235</v>
      </c>
      <c r="D938" s="13" t="s">
        <v>246</v>
      </c>
      <c r="E938" s="219" t="s">
        <v>258</v>
      </c>
      <c r="F938" s="7">
        <v>45768</v>
      </c>
      <c r="H938" s="2">
        <v>1</v>
      </c>
      <c r="I938" s="220" t="s">
        <v>258</v>
      </c>
    </row>
    <row r="939" spans="2:9" ht="21" customHeight="1" x14ac:dyDescent="0.3">
      <c r="B939" s="13" t="s">
        <v>348</v>
      </c>
      <c r="C939" s="13" t="s">
        <v>232</v>
      </c>
      <c r="D939" s="13" t="s">
        <v>246</v>
      </c>
      <c r="E939" s="219" t="s">
        <v>258</v>
      </c>
      <c r="F939" s="7">
        <v>45761</v>
      </c>
      <c r="H939" s="2">
        <v>1</v>
      </c>
      <c r="I939" s="220" t="s">
        <v>258</v>
      </c>
    </row>
    <row r="940" spans="2:9" ht="21" customHeight="1" x14ac:dyDescent="0.3">
      <c r="B940" s="13" t="s">
        <v>352</v>
      </c>
      <c r="C940" s="13" t="s">
        <v>233</v>
      </c>
      <c r="D940" s="13" t="s">
        <v>246</v>
      </c>
      <c r="E940" s="219" t="s">
        <v>258</v>
      </c>
      <c r="F940" s="7">
        <v>45748</v>
      </c>
      <c r="H940" s="2">
        <v>1</v>
      </c>
      <c r="I940" s="220" t="s">
        <v>258</v>
      </c>
    </row>
    <row r="941" spans="2:9" ht="21" customHeight="1" x14ac:dyDescent="0.3">
      <c r="B941" s="13" t="s">
        <v>353</v>
      </c>
      <c r="C941" s="13" t="s">
        <v>233</v>
      </c>
      <c r="D941" s="13" t="s">
        <v>246</v>
      </c>
      <c r="E941" s="219" t="s">
        <v>281</v>
      </c>
      <c r="F941" s="7">
        <v>45757</v>
      </c>
      <c r="H941" s="2">
        <v>0.5</v>
      </c>
      <c r="I941" s="220" t="s">
        <v>281</v>
      </c>
    </row>
    <row r="942" spans="2:9" ht="21" customHeight="1" x14ac:dyDescent="0.3">
      <c r="B942" s="13" t="s">
        <v>353</v>
      </c>
      <c r="C942" s="13" t="s">
        <v>233</v>
      </c>
      <c r="D942" s="13" t="s">
        <v>246</v>
      </c>
      <c r="E942" s="219" t="s">
        <v>281</v>
      </c>
      <c r="F942" s="7">
        <v>45758</v>
      </c>
      <c r="H942" s="2">
        <v>0.5</v>
      </c>
      <c r="I942" s="220" t="s">
        <v>281</v>
      </c>
    </row>
    <row r="943" spans="2:9" ht="21" customHeight="1" x14ac:dyDescent="0.3">
      <c r="B943" s="13" t="s">
        <v>229</v>
      </c>
      <c r="C943" s="13" t="s">
        <v>232</v>
      </c>
      <c r="D943" s="13" t="s">
        <v>244</v>
      </c>
      <c r="E943" s="219" t="s">
        <v>258</v>
      </c>
      <c r="F943" s="7">
        <v>45806</v>
      </c>
      <c r="H943" s="2">
        <v>1</v>
      </c>
      <c r="I943" s="220" t="s">
        <v>258</v>
      </c>
    </row>
    <row r="944" spans="2:9" ht="21" customHeight="1" x14ac:dyDescent="0.3">
      <c r="B944" s="13" t="s">
        <v>267</v>
      </c>
      <c r="C944" s="13" t="s">
        <v>232</v>
      </c>
      <c r="D944" s="13" t="s">
        <v>241</v>
      </c>
      <c r="E944" s="219" t="s">
        <v>258</v>
      </c>
      <c r="F944" s="7">
        <v>45803</v>
      </c>
      <c r="H944" s="2">
        <v>1</v>
      </c>
      <c r="I944" s="220" t="s">
        <v>258</v>
      </c>
    </row>
    <row r="945" spans="2:9" ht="21" customHeight="1" x14ac:dyDescent="0.3">
      <c r="B945" s="13" t="s">
        <v>337</v>
      </c>
      <c r="C945" s="13" t="s">
        <v>232</v>
      </c>
      <c r="D945" s="13" t="s">
        <v>244</v>
      </c>
      <c r="E945" s="219" t="s">
        <v>258</v>
      </c>
      <c r="F945" s="7">
        <v>45796</v>
      </c>
      <c r="H945" s="2">
        <v>1</v>
      </c>
      <c r="I945" s="220" t="s">
        <v>258</v>
      </c>
    </row>
    <row r="946" spans="2:9" ht="21" customHeight="1" x14ac:dyDescent="0.3">
      <c r="B946" s="13" t="s">
        <v>219</v>
      </c>
      <c r="C946" s="13" t="s">
        <v>233</v>
      </c>
      <c r="D946" s="13" t="s">
        <v>241</v>
      </c>
      <c r="E946" s="219" t="s">
        <v>258</v>
      </c>
      <c r="F946" s="7">
        <v>45803</v>
      </c>
      <c r="H946" s="2">
        <v>1</v>
      </c>
      <c r="I946" s="220" t="s">
        <v>258</v>
      </c>
    </row>
    <row r="947" spans="2:9" ht="21" customHeight="1" x14ac:dyDescent="0.3">
      <c r="B947" s="13" t="s">
        <v>219</v>
      </c>
      <c r="C947" s="13" t="s">
        <v>233</v>
      </c>
      <c r="D947" s="13" t="s">
        <v>241</v>
      </c>
      <c r="E947" s="219" t="s">
        <v>258</v>
      </c>
      <c r="F947" s="7">
        <v>45804</v>
      </c>
      <c r="H947" s="2">
        <v>1</v>
      </c>
      <c r="I947" s="220" t="s">
        <v>258</v>
      </c>
    </row>
    <row r="948" spans="2:9" ht="21" customHeight="1" x14ac:dyDescent="0.3">
      <c r="B948" s="13" t="s">
        <v>352</v>
      </c>
      <c r="C948" s="13" t="s">
        <v>233</v>
      </c>
      <c r="D948" s="13" t="s">
        <v>246</v>
      </c>
      <c r="E948" s="219" t="s">
        <v>258</v>
      </c>
      <c r="F948" s="7">
        <v>45792</v>
      </c>
      <c r="H948" s="2">
        <v>1</v>
      </c>
      <c r="I948" s="220" t="s">
        <v>258</v>
      </c>
    </row>
    <row r="949" spans="2:9" ht="21" customHeight="1" x14ac:dyDescent="0.3">
      <c r="B949" s="13" t="s">
        <v>353</v>
      </c>
      <c r="C949" s="13" t="s">
        <v>233</v>
      </c>
      <c r="D949" s="13" t="s">
        <v>246</v>
      </c>
      <c r="E949" s="219" t="s">
        <v>258</v>
      </c>
      <c r="F949" s="7">
        <v>45779</v>
      </c>
      <c r="H949" s="2">
        <v>1</v>
      </c>
      <c r="I949" s="220" t="s">
        <v>258</v>
      </c>
    </row>
    <row r="950" spans="2:9" ht="21" customHeight="1" x14ac:dyDescent="0.3">
      <c r="B950" s="13" t="s">
        <v>353</v>
      </c>
      <c r="C950" s="13" t="s">
        <v>233</v>
      </c>
      <c r="D950" s="13" t="s">
        <v>246</v>
      </c>
      <c r="E950" s="219" t="s">
        <v>258</v>
      </c>
      <c r="F950" s="7">
        <v>45800</v>
      </c>
      <c r="H950" s="2">
        <v>1</v>
      </c>
      <c r="I950" s="220" t="s">
        <v>258</v>
      </c>
    </row>
    <row r="951" spans="2:9" ht="21" customHeight="1" x14ac:dyDescent="0.3">
      <c r="B951" s="13" t="s">
        <v>229</v>
      </c>
      <c r="C951" s="13" t="s">
        <v>232</v>
      </c>
      <c r="D951" s="13" t="s">
        <v>244</v>
      </c>
      <c r="E951" s="219" t="s">
        <v>258</v>
      </c>
      <c r="F951" s="7">
        <v>45819</v>
      </c>
      <c r="H951" s="2">
        <v>1</v>
      </c>
      <c r="I951" s="220" t="s">
        <v>258</v>
      </c>
    </row>
    <row r="952" spans="2:9" ht="21" customHeight="1" x14ac:dyDescent="0.3">
      <c r="B952" s="13" t="s">
        <v>229</v>
      </c>
      <c r="C952" s="13" t="s">
        <v>232</v>
      </c>
      <c r="D952" s="13" t="s">
        <v>244</v>
      </c>
      <c r="E952" s="219" t="s">
        <v>258</v>
      </c>
      <c r="F952" s="7">
        <v>45820</v>
      </c>
      <c r="H952" s="2">
        <v>1</v>
      </c>
      <c r="I952" s="220" t="s">
        <v>258</v>
      </c>
    </row>
    <row r="953" spans="2:9" ht="21" customHeight="1" x14ac:dyDescent="0.3">
      <c r="B953" s="13" t="s">
        <v>337</v>
      </c>
      <c r="C953" s="13" t="s">
        <v>232</v>
      </c>
      <c r="D953" s="13" t="s">
        <v>244</v>
      </c>
      <c r="E953" s="219" t="s">
        <v>258</v>
      </c>
      <c r="F953" s="7">
        <v>45831</v>
      </c>
      <c r="H953" s="2">
        <v>1</v>
      </c>
      <c r="I953" s="220" t="s">
        <v>258</v>
      </c>
    </row>
    <row r="954" spans="2:9" ht="21" customHeight="1" x14ac:dyDescent="0.3">
      <c r="B954" s="13" t="s">
        <v>228</v>
      </c>
      <c r="C954" s="13" t="s">
        <v>233</v>
      </c>
      <c r="D954" s="13" t="s">
        <v>246</v>
      </c>
      <c r="E954" s="219" t="s">
        <v>258</v>
      </c>
      <c r="F954" s="7">
        <v>45810</v>
      </c>
      <c r="H954" s="2">
        <v>1</v>
      </c>
      <c r="I954" s="220" t="s">
        <v>258</v>
      </c>
    </row>
    <row r="955" spans="2:9" ht="21" customHeight="1" x14ac:dyDescent="0.3">
      <c r="B955" s="13" t="s">
        <v>228</v>
      </c>
      <c r="C955" s="13" t="s">
        <v>233</v>
      </c>
      <c r="D955" s="13" t="s">
        <v>246</v>
      </c>
      <c r="E955" s="219" t="s">
        <v>258</v>
      </c>
      <c r="F955" s="7">
        <v>45812</v>
      </c>
      <c r="H955" s="2">
        <v>1</v>
      </c>
      <c r="I955" s="220" t="s">
        <v>258</v>
      </c>
    </row>
    <row r="956" spans="2:9" ht="21" customHeight="1" x14ac:dyDescent="0.3">
      <c r="B956" s="13" t="s">
        <v>228</v>
      </c>
      <c r="C956" s="13" t="s">
        <v>233</v>
      </c>
      <c r="D956" s="13" t="s">
        <v>246</v>
      </c>
      <c r="E956" s="219" t="s">
        <v>258</v>
      </c>
      <c r="F956" s="7">
        <v>45813</v>
      </c>
      <c r="H956" s="2">
        <v>1</v>
      </c>
      <c r="I956" s="220" t="s">
        <v>258</v>
      </c>
    </row>
    <row r="957" spans="2:9" ht="21" customHeight="1" x14ac:dyDescent="0.3">
      <c r="B957" s="13" t="s">
        <v>231</v>
      </c>
      <c r="C957" s="13" t="s">
        <v>235</v>
      </c>
      <c r="D957" s="13" t="s">
        <v>246</v>
      </c>
      <c r="E957" s="219" t="s">
        <v>258</v>
      </c>
      <c r="F957" s="7">
        <v>45828</v>
      </c>
      <c r="H957" s="2">
        <v>1</v>
      </c>
      <c r="I957" s="220" t="s">
        <v>258</v>
      </c>
    </row>
    <row r="958" spans="2:9" ht="21" customHeight="1" x14ac:dyDescent="0.3">
      <c r="B958" s="13" t="s">
        <v>222</v>
      </c>
      <c r="C958" s="13" t="s">
        <v>235</v>
      </c>
      <c r="D958" s="13" t="s">
        <v>243</v>
      </c>
      <c r="E958" s="219" t="s">
        <v>281</v>
      </c>
      <c r="F958" s="7">
        <v>45818</v>
      </c>
      <c r="H958" s="2">
        <v>0.5</v>
      </c>
      <c r="I958" s="220" t="s">
        <v>281</v>
      </c>
    </row>
    <row r="959" spans="2:9" ht="21" customHeight="1" x14ac:dyDescent="0.3">
      <c r="B959" s="13" t="s">
        <v>222</v>
      </c>
      <c r="C959" s="13" t="s">
        <v>235</v>
      </c>
      <c r="D959" s="13" t="s">
        <v>243</v>
      </c>
      <c r="E959" s="219" t="s">
        <v>258</v>
      </c>
      <c r="F959" s="7">
        <v>45821</v>
      </c>
      <c r="H959" s="2">
        <v>1</v>
      </c>
      <c r="I959" s="220" t="s">
        <v>258</v>
      </c>
    </row>
    <row r="960" spans="2:9" ht="21" customHeight="1" x14ac:dyDescent="0.3">
      <c r="B960" s="13" t="s">
        <v>348</v>
      </c>
      <c r="C960" s="13" t="s">
        <v>232</v>
      </c>
      <c r="D960" s="13" t="s">
        <v>246</v>
      </c>
      <c r="E960" s="219" t="s">
        <v>258</v>
      </c>
      <c r="F960" s="7">
        <v>45824</v>
      </c>
      <c r="H960" s="2">
        <v>1</v>
      </c>
      <c r="I960" s="220" t="s">
        <v>258</v>
      </c>
    </row>
    <row r="961" spans="2:9" ht="21" customHeight="1" x14ac:dyDescent="0.3">
      <c r="B961" s="13" t="s">
        <v>352</v>
      </c>
      <c r="C961" s="13" t="s">
        <v>233</v>
      </c>
      <c r="D961" s="13" t="s">
        <v>246</v>
      </c>
      <c r="E961" s="219" t="s">
        <v>258</v>
      </c>
      <c r="F961" s="7">
        <v>45817</v>
      </c>
      <c r="H961" s="2">
        <v>1</v>
      </c>
      <c r="I961" s="220" t="s">
        <v>258</v>
      </c>
    </row>
    <row r="962" spans="2:9" ht="21" customHeight="1" x14ac:dyDescent="0.3">
      <c r="B962" s="13" t="s">
        <v>352</v>
      </c>
      <c r="C962" s="13" t="s">
        <v>233</v>
      </c>
      <c r="D962" s="13" t="s">
        <v>246</v>
      </c>
      <c r="E962" s="219" t="s">
        <v>258</v>
      </c>
      <c r="F962" s="7">
        <v>45818</v>
      </c>
      <c r="H962" s="2">
        <v>1</v>
      </c>
      <c r="I962" s="220" t="s">
        <v>258</v>
      </c>
    </row>
    <row r="963" spans="2:9" ht="21" customHeight="1" x14ac:dyDescent="0.3">
      <c r="B963" s="13" t="s">
        <v>352</v>
      </c>
      <c r="C963" s="13" t="s">
        <v>233</v>
      </c>
      <c r="D963" s="13" t="s">
        <v>246</v>
      </c>
      <c r="E963" s="219" t="s">
        <v>258</v>
      </c>
      <c r="F963" s="7">
        <v>45819</v>
      </c>
      <c r="H963" s="2">
        <v>1</v>
      </c>
      <c r="I963" s="220" t="s">
        <v>258</v>
      </c>
    </row>
    <row r="964" spans="2:9" ht="21" customHeight="1" x14ac:dyDescent="0.3">
      <c r="B964" s="13" t="s">
        <v>267</v>
      </c>
      <c r="C964" s="13" t="s">
        <v>232</v>
      </c>
      <c r="D964" s="13" t="s">
        <v>241</v>
      </c>
      <c r="E964" s="219" t="s">
        <v>258</v>
      </c>
      <c r="F964" s="7">
        <v>45849</v>
      </c>
      <c r="H964" s="2">
        <v>1</v>
      </c>
      <c r="I964" s="220" t="s">
        <v>258</v>
      </c>
    </row>
    <row r="965" spans="2:9" ht="21" customHeight="1" x14ac:dyDescent="0.3">
      <c r="B965" s="13" t="s">
        <v>337</v>
      </c>
      <c r="C965" s="13" t="s">
        <v>232</v>
      </c>
      <c r="D965" s="13" t="s">
        <v>244</v>
      </c>
      <c r="E965" s="219" t="s">
        <v>258</v>
      </c>
      <c r="F965" s="7">
        <v>45852</v>
      </c>
      <c r="H965" s="2">
        <v>1</v>
      </c>
      <c r="I965" s="220" t="s">
        <v>258</v>
      </c>
    </row>
    <row r="966" spans="2:9" ht="21" customHeight="1" x14ac:dyDescent="0.3">
      <c r="B966" s="13" t="s">
        <v>337</v>
      </c>
      <c r="C966" s="13" t="s">
        <v>232</v>
      </c>
      <c r="D966" s="13" t="s">
        <v>244</v>
      </c>
      <c r="E966" s="219" t="s">
        <v>258</v>
      </c>
      <c r="F966" s="7">
        <v>45866</v>
      </c>
      <c r="H966" s="2">
        <v>1</v>
      </c>
      <c r="I966" s="220" t="s">
        <v>258</v>
      </c>
    </row>
    <row r="967" spans="2:9" ht="21" customHeight="1" x14ac:dyDescent="0.3">
      <c r="B967" s="13" t="s">
        <v>219</v>
      </c>
      <c r="C967" s="13" t="s">
        <v>233</v>
      </c>
      <c r="D967" s="13" t="s">
        <v>241</v>
      </c>
      <c r="E967" s="219" t="s">
        <v>258</v>
      </c>
      <c r="F967" s="7">
        <v>45849</v>
      </c>
      <c r="H967" s="2">
        <v>1</v>
      </c>
      <c r="I967" s="220" t="s">
        <v>258</v>
      </c>
    </row>
    <row r="968" spans="2:9" ht="21" customHeight="1" x14ac:dyDescent="0.3">
      <c r="B968" s="13" t="s">
        <v>228</v>
      </c>
      <c r="C968" s="13" t="s">
        <v>233</v>
      </c>
      <c r="D968" s="13" t="s">
        <v>246</v>
      </c>
      <c r="E968" s="219" t="s">
        <v>258</v>
      </c>
      <c r="F968" s="7">
        <v>45845</v>
      </c>
      <c r="H968" s="2">
        <v>1</v>
      </c>
      <c r="I968" s="220" t="s">
        <v>258</v>
      </c>
    </row>
    <row r="969" spans="2:9" ht="21" customHeight="1" x14ac:dyDescent="0.3">
      <c r="B969" s="13" t="s">
        <v>231</v>
      </c>
      <c r="C969" s="13" t="s">
        <v>235</v>
      </c>
      <c r="D969" s="13" t="s">
        <v>246</v>
      </c>
      <c r="E969" s="219" t="s">
        <v>258</v>
      </c>
      <c r="F969" s="7">
        <v>45852</v>
      </c>
      <c r="H969" s="2">
        <v>1</v>
      </c>
      <c r="I969" s="220" t="s">
        <v>258</v>
      </c>
    </row>
    <row r="970" spans="2:9" ht="21" customHeight="1" x14ac:dyDescent="0.3">
      <c r="B970" s="13" t="s">
        <v>222</v>
      </c>
      <c r="C970" s="13" t="s">
        <v>235</v>
      </c>
      <c r="D970" s="13" t="s">
        <v>243</v>
      </c>
      <c r="E970" s="219" t="s">
        <v>281</v>
      </c>
      <c r="F970" s="7">
        <v>45856</v>
      </c>
      <c r="H970" s="2">
        <v>1</v>
      </c>
      <c r="I970" s="220" t="s">
        <v>258</v>
      </c>
    </row>
    <row r="971" spans="2:9" ht="21" customHeight="1" x14ac:dyDescent="0.3">
      <c r="B971" s="13" t="s">
        <v>222</v>
      </c>
      <c r="C971" s="13" t="s">
        <v>235</v>
      </c>
      <c r="D971" s="13" t="s">
        <v>243</v>
      </c>
      <c r="E971" s="219" t="s">
        <v>281</v>
      </c>
      <c r="F971" s="7">
        <v>45841</v>
      </c>
      <c r="H971" s="2">
        <v>0.5</v>
      </c>
      <c r="I971" s="220" t="s">
        <v>281</v>
      </c>
    </row>
    <row r="972" spans="2:9" ht="21" customHeight="1" x14ac:dyDescent="0.3">
      <c r="B972" s="13" t="s">
        <v>348</v>
      </c>
      <c r="C972" s="13" t="s">
        <v>232</v>
      </c>
      <c r="D972" s="13" t="s">
        <v>246</v>
      </c>
      <c r="E972" s="219" t="s">
        <v>258</v>
      </c>
      <c r="F972" s="7">
        <v>45863</v>
      </c>
      <c r="H972" s="2">
        <v>1</v>
      </c>
      <c r="I972" s="220" t="s">
        <v>258</v>
      </c>
    </row>
    <row r="973" spans="2:9" ht="21" customHeight="1" x14ac:dyDescent="0.3">
      <c r="B973" s="13" t="s">
        <v>352</v>
      </c>
      <c r="C973" s="13" t="s">
        <v>233</v>
      </c>
      <c r="D973" s="13" t="s">
        <v>246</v>
      </c>
      <c r="E973" s="219" t="s">
        <v>258</v>
      </c>
      <c r="F973" s="7">
        <v>45842</v>
      </c>
      <c r="H973" s="2">
        <v>1</v>
      </c>
      <c r="I973" s="220" t="s">
        <v>258</v>
      </c>
    </row>
    <row r="974" spans="2:9" ht="21" customHeight="1" x14ac:dyDescent="0.3">
      <c r="B974" s="13" t="s">
        <v>353</v>
      </c>
      <c r="C974" s="13" t="s">
        <v>233</v>
      </c>
      <c r="D974" s="13" t="s">
        <v>246</v>
      </c>
      <c r="E974" s="219" t="s">
        <v>258</v>
      </c>
      <c r="F974" s="7">
        <v>45866</v>
      </c>
      <c r="H974" s="2">
        <v>1</v>
      </c>
      <c r="I974" s="220" t="s">
        <v>258</v>
      </c>
    </row>
    <row r="975" spans="2:9" ht="21" customHeight="1" x14ac:dyDescent="0.3">
      <c r="B975" s="13" t="s">
        <v>353</v>
      </c>
      <c r="C975" s="13" t="s">
        <v>233</v>
      </c>
      <c r="D975" s="13" t="s">
        <v>246</v>
      </c>
      <c r="E975" s="219" t="s">
        <v>258</v>
      </c>
      <c r="F975" s="7">
        <v>45867</v>
      </c>
      <c r="H975" s="2">
        <v>1</v>
      </c>
      <c r="I975" s="220" t="s">
        <v>258</v>
      </c>
    </row>
    <row r="976" spans="2:9" ht="21" customHeight="1" x14ac:dyDescent="0.3">
      <c r="B976" s="13" t="s">
        <v>353</v>
      </c>
      <c r="C976" s="13" t="s">
        <v>233</v>
      </c>
      <c r="D976" s="13" t="s">
        <v>246</v>
      </c>
      <c r="E976" s="219" t="s">
        <v>258</v>
      </c>
      <c r="F976" s="7">
        <v>45868</v>
      </c>
      <c r="H976" s="2">
        <v>1</v>
      </c>
      <c r="I976" s="220" t="s">
        <v>258</v>
      </c>
    </row>
    <row r="977" spans="2:9" ht="21" customHeight="1" x14ac:dyDescent="0.3">
      <c r="B977" s="13" t="s">
        <v>267</v>
      </c>
      <c r="C977" s="13" t="s">
        <v>232</v>
      </c>
      <c r="D977" s="13" t="s">
        <v>241</v>
      </c>
      <c r="E977" s="13" t="s">
        <v>79</v>
      </c>
      <c r="F977" s="7">
        <v>45870</v>
      </c>
      <c r="H977" s="2">
        <v>1</v>
      </c>
      <c r="I977" s="217" t="s">
        <v>79</v>
      </c>
    </row>
    <row r="978" spans="2:9" ht="21" customHeight="1" x14ac:dyDescent="0.3">
      <c r="B978" s="13" t="s">
        <v>267</v>
      </c>
      <c r="C978" s="13" t="s">
        <v>232</v>
      </c>
      <c r="D978" s="13" t="s">
        <v>241</v>
      </c>
      <c r="E978" s="13" t="s">
        <v>79</v>
      </c>
      <c r="F978" s="7">
        <v>45873</v>
      </c>
      <c r="H978" s="2">
        <v>1</v>
      </c>
      <c r="I978" s="217" t="s">
        <v>79</v>
      </c>
    </row>
    <row r="979" spans="2:9" ht="21" customHeight="1" x14ac:dyDescent="0.3">
      <c r="B979" s="13" t="s">
        <v>267</v>
      </c>
      <c r="C979" s="13" t="s">
        <v>232</v>
      </c>
      <c r="D979" s="13" t="s">
        <v>241</v>
      </c>
      <c r="E979" s="13" t="s">
        <v>79</v>
      </c>
      <c r="F979" s="7">
        <v>45874</v>
      </c>
      <c r="H979" s="2">
        <v>1</v>
      </c>
      <c r="I979" s="217" t="s">
        <v>79</v>
      </c>
    </row>
    <row r="980" spans="2:9" ht="21" customHeight="1" x14ac:dyDescent="0.3">
      <c r="B980" s="13" t="s">
        <v>337</v>
      </c>
      <c r="C980" s="13" t="s">
        <v>232</v>
      </c>
      <c r="D980" s="13" t="s">
        <v>244</v>
      </c>
      <c r="E980" s="13" t="s">
        <v>79</v>
      </c>
      <c r="F980" s="7">
        <v>45887</v>
      </c>
      <c r="H980" s="2">
        <v>1</v>
      </c>
      <c r="I980" s="217" t="s">
        <v>79</v>
      </c>
    </row>
    <row r="981" spans="2:9" ht="21" customHeight="1" x14ac:dyDescent="0.3">
      <c r="B981" s="13" t="s">
        <v>337</v>
      </c>
      <c r="C981" s="13" t="s">
        <v>232</v>
      </c>
      <c r="D981" s="13" t="s">
        <v>244</v>
      </c>
      <c r="E981" s="13" t="s">
        <v>79</v>
      </c>
      <c r="F981" s="7">
        <v>45888</v>
      </c>
      <c r="H981" s="2">
        <v>1</v>
      </c>
      <c r="I981" s="217" t="s">
        <v>79</v>
      </c>
    </row>
    <row r="982" spans="2:9" ht="21" customHeight="1" x14ac:dyDescent="0.3">
      <c r="B982" s="13" t="s">
        <v>337</v>
      </c>
      <c r="C982" s="13" t="s">
        <v>232</v>
      </c>
      <c r="D982" s="13" t="s">
        <v>244</v>
      </c>
      <c r="E982" s="13" t="s">
        <v>79</v>
      </c>
      <c r="F982" s="7">
        <v>45889</v>
      </c>
      <c r="H982" s="2">
        <v>1</v>
      </c>
      <c r="I982" s="217" t="s">
        <v>79</v>
      </c>
    </row>
    <row r="983" spans="2:9" ht="21" customHeight="1" x14ac:dyDescent="0.3">
      <c r="B983" s="13" t="s">
        <v>389</v>
      </c>
      <c r="C983" s="13" t="s">
        <v>232</v>
      </c>
      <c r="D983" s="13" t="s">
        <v>244</v>
      </c>
      <c r="E983" s="13" t="s">
        <v>79</v>
      </c>
      <c r="F983" s="7">
        <v>45880</v>
      </c>
      <c r="H983" s="2">
        <v>1</v>
      </c>
      <c r="I983" s="217" t="s">
        <v>79</v>
      </c>
    </row>
    <row r="984" spans="2:9" ht="21" customHeight="1" x14ac:dyDescent="0.3">
      <c r="B984" s="13" t="s">
        <v>389</v>
      </c>
      <c r="C984" s="13" t="s">
        <v>232</v>
      </c>
      <c r="D984" s="13" t="s">
        <v>244</v>
      </c>
      <c r="E984" s="13" t="s">
        <v>79</v>
      </c>
      <c r="F984" s="7">
        <v>45881</v>
      </c>
      <c r="H984" s="2">
        <v>1</v>
      </c>
      <c r="I984" s="217" t="s">
        <v>79</v>
      </c>
    </row>
    <row r="985" spans="2:9" ht="21" customHeight="1" x14ac:dyDescent="0.3">
      <c r="B985" s="13" t="s">
        <v>389</v>
      </c>
      <c r="C985" s="13" t="s">
        <v>232</v>
      </c>
      <c r="D985" s="13" t="s">
        <v>244</v>
      </c>
      <c r="E985" s="13" t="s">
        <v>79</v>
      </c>
      <c r="F985" s="7">
        <v>45894</v>
      </c>
      <c r="H985" s="2">
        <v>1</v>
      </c>
      <c r="I985" s="217" t="s">
        <v>79</v>
      </c>
    </row>
    <row r="986" spans="2:9" ht="21" customHeight="1" x14ac:dyDescent="0.3">
      <c r="B986" s="13" t="s">
        <v>219</v>
      </c>
      <c r="C986" s="13" t="s">
        <v>233</v>
      </c>
      <c r="D986" s="13" t="s">
        <v>241</v>
      </c>
      <c r="E986" s="13" t="s">
        <v>79</v>
      </c>
      <c r="F986" s="7">
        <v>45880</v>
      </c>
      <c r="H986" s="2">
        <v>1</v>
      </c>
      <c r="I986" s="217" t="s">
        <v>79</v>
      </c>
    </row>
    <row r="987" spans="2:9" ht="21" customHeight="1" x14ac:dyDescent="0.3">
      <c r="B987" s="13" t="s">
        <v>219</v>
      </c>
      <c r="C987" s="13" t="s">
        <v>233</v>
      </c>
      <c r="D987" s="13" t="s">
        <v>241</v>
      </c>
      <c r="E987" s="13" t="s">
        <v>79</v>
      </c>
      <c r="F987" s="7">
        <v>45881</v>
      </c>
      <c r="H987" s="2">
        <v>1</v>
      </c>
      <c r="I987" s="217" t="s">
        <v>79</v>
      </c>
    </row>
    <row r="988" spans="2:9" ht="21" customHeight="1" x14ac:dyDescent="0.3">
      <c r="B988" s="13" t="s">
        <v>219</v>
      </c>
      <c r="C988" s="13" t="s">
        <v>233</v>
      </c>
      <c r="D988" s="13" t="s">
        <v>241</v>
      </c>
      <c r="E988" s="13" t="s">
        <v>79</v>
      </c>
      <c r="F988" s="7">
        <v>45882</v>
      </c>
      <c r="H988" s="2">
        <v>1</v>
      </c>
      <c r="I988" s="217" t="s">
        <v>79</v>
      </c>
    </row>
    <row r="989" spans="2:9" ht="21" customHeight="1" x14ac:dyDescent="0.3">
      <c r="B989" s="13" t="s">
        <v>219</v>
      </c>
      <c r="C989" s="13" t="s">
        <v>233</v>
      </c>
      <c r="D989" s="13" t="s">
        <v>241</v>
      </c>
      <c r="E989" s="13" t="s">
        <v>79</v>
      </c>
      <c r="F989" s="7">
        <v>45883</v>
      </c>
      <c r="H989" s="2">
        <v>1</v>
      </c>
      <c r="I989" s="217" t="s">
        <v>79</v>
      </c>
    </row>
    <row r="990" spans="2:9" ht="21" customHeight="1" x14ac:dyDescent="0.3">
      <c r="B990" s="13" t="s">
        <v>228</v>
      </c>
      <c r="C990" s="13" t="s">
        <v>233</v>
      </c>
      <c r="D990" s="13" t="s">
        <v>246</v>
      </c>
      <c r="E990" s="13" t="s">
        <v>81</v>
      </c>
      <c r="F990" s="7">
        <v>45877</v>
      </c>
      <c r="H990" s="2">
        <v>0.5</v>
      </c>
      <c r="I990" s="217" t="s">
        <v>81</v>
      </c>
    </row>
    <row r="991" spans="2:9" ht="21" customHeight="1" x14ac:dyDescent="0.3">
      <c r="B991" s="13" t="s">
        <v>228</v>
      </c>
      <c r="C991" s="13" t="s">
        <v>233</v>
      </c>
      <c r="D991" s="13" t="s">
        <v>246</v>
      </c>
      <c r="E991" s="13" t="s">
        <v>79</v>
      </c>
      <c r="F991" s="7">
        <v>45889</v>
      </c>
      <c r="H991" s="2">
        <v>1</v>
      </c>
      <c r="I991" s="217" t="s">
        <v>79</v>
      </c>
    </row>
    <row r="992" spans="2:9" ht="21" customHeight="1" x14ac:dyDescent="0.3">
      <c r="B992" s="13" t="s">
        <v>228</v>
      </c>
      <c r="C992" s="13" t="s">
        <v>233</v>
      </c>
      <c r="D992" s="13" t="s">
        <v>246</v>
      </c>
      <c r="E992" s="13" t="s">
        <v>79</v>
      </c>
      <c r="F992" s="7">
        <v>45890</v>
      </c>
      <c r="H992" s="2">
        <v>1</v>
      </c>
      <c r="I992" s="217" t="s">
        <v>79</v>
      </c>
    </row>
    <row r="993" spans="2:9" ht="21" customHeight="1" x14ac:dyDescent="0.3">
      <c r="B993" s="13" t="s">
        <v>228</v>
      </c>
      <c r="C993" s="13" t="s">
        <v>233</v>
      </c>
      <c r="D993" s="13" t="s">
        <v>246</v>
      </c>
      <c r="E993" s="13" t="s">
        <v>79</v>
      </c>
      <c r="F993" s="7">
        <v>45891</v>
      </c>
      <c r="H993" s="2">
        <v>1</v>
      </c>
      <c r="I993" s="217" t="s">
        <v>79</v>
      </c>
    </row>
    <row r="994" spans="2:9" ht="21" customHeight="1" x14ac:dyDescent="0.3">
      <c r="B994" s="13" t="s">
        <v>231</v>
      </c>
      <c r="C994" s="13" t="s">
        <v>235</v>
      </c>
      <c r="D994" s="13" t="s">
        <v>246</v>
      </c>
      <c r="E994" s="13" t="s">
        <v>81</v>
      </c>
      <c r="F994" s="7">
        <v>45880</v>
      </c>
      <c r="H994" s="2">
        <v>0.5</v>
      </c>
      <c r="I994" s="217" t="s">
        <v>81</v>
      </c>
    </row>
    <row r="995" spans="2:9" ht="21" customHeight="1" x14ac:dyDescent="0.3">
      <c r="B995" s="13" t="s">
        <v>231</v>
      </c>
      <c r="C995" s="13" t="s">
        <v>235</v>
      </c>
      <c r="D995" s="13" t="s">
        <v>246</v>
      </c>
      <c r="E995" s="13" t="s">
        <v>79</v>
      </c>
      <c r="F995" s="7">
        <v>45887</v>
      </c>
      <c r="H995" s="2">
        <v>1</v>
      </c>
      <c r="I995" s="217" t="s">
        <v>79</v>
      </c>
    </row>
    <row r="996" spans="2:9" ht="21" customHeight="1" x14ac:dyDescent="0.3">
      <c r="B996" s="13" t="s">
        <v>231</v>
      </c>
      <c r="C996" s="13" t="s">
        <v>235</v>
      </c>
      <c r="D996" s="13" t="s">
        <v>246</v>
      </c>
      <c r="E996" s="13" t="s">
        <v>79</v>
      </c>
      <c r="F996" s="7">
        <v>45891</v>
      </c>
      <c r="H996" s="2">
        <v>1</v>
      </c>
      <c r="I996" s="217" t="s">
        <v>79</v>
      </c>
    </row>
    <row r="997" spans="2:9" ht="21" customHeight="1" x14ac:dyDescent="0.3">
      <c r="B997" s="13" t="s">
        <v>222</v>
      </c>
      <c r="C997" s="13" t="s">
        <v>235</v>
      </c>
      <c r="D997" s="13" t="s">
        <v>243</v>
      </c>
      <c r="E997" s="13" t="s">
        <v>79</v>
      </c>
      <c r="F997" s="7">
        <v>45870</v>
      </c>
      <c r="H997" s="2">
        <v>1</v>
      </c>
      <c r="I997" s="217" t="s">
        <v>79</v>
      </c>
    </row>
    <row r="998" spans="2:9" ht="21" customHeight="1" x14ac:dyDescent="0.3">
      <c r="B998" s="13" t="s">
        <v>222</v>
      </c>
      <c r="C998" s="13" t="s">
        <v>235</v>
      </c>
      <c r="D998" s="13" t="s">
        <v>243</v>
      </c>
      <c r="E998" s="13" t="s">
        <v>79</v>
      </c>
      <c r="F998" s="7">
        <v>45873</v>
      </c>
      <c r="H998" s="2">
        <v>1</v>
      </c>
      <c r="I998" s="217" t="s">
        <v>79</v>
      </c>
    </row>
    <row r="999" spans="2:9" ht="21" customHeight="1" x14ac:dyDescent="0.3">
      <c r="B999" s="13" t="s">
        <v>222</v>
      </c>
      <c r="C999" s="13" t="s">
        <v>235</v>
      </c>
      <c r="D999" s="13" t="s">
        <v>243</v>
      </c>
      <c r="E999" s="13" t="s">
        <v>79</v>
      </c>
      <c r="F999" s="7">
        <v>45874</v>
      </c>
      <c r="H999" s="2">
        <v>1</v>
      </c>
      <c r="I999" s="217" t="s">
        <v>79</v>
      </c>
    </row>
    <row r="1000" spans="2:9" ht="21" customHeight="1" x14ac:dyDescent="0.3">
      <c r="B1000" s="13" t="s">
        <v>222</v>
      </c>
      <c r="C1000" s="13" t="s">
        <v>235</v>
      </c>
      <c r="D1000" s="13" t="s">
        <v>243</v>
      </c>
      <c r="E1000" s="13" t="s">
        <v>81</v>
      </c>
      <c r="F1000" s="7">
        <v>45882</v>
      </c>
      <c r="H1000" s="2">
        <v>0.5</v>
      </c>
      <c r="I1000" s="217" t="s">
        <v>81</v>
      </c>
    </row>
    <row r="1001" spans="2:9" ht="21" customHeight="1" x14ac:dyDescent="0.3">
      <c r="B1001" s="13" t="s">
        <v>348</v>
      </c>
      <c r="C1001" s="13" t="s">
        <v>232</v>
      </c>
      <c r="D1001" s="13" t="s">
        <v>246</v>
      </c>
      <c r="E1001" s="13" t="s">
        <v>79</v>
      </c>
      <c r="F1001" s="7">
        <v>45880</v>
      </c>
      <c r="H1001" s="2">
        <v>1</v>
      </c>
      <c r="I1001" s="217" t="s">
        <v>79</v>
      </c>
    </row>
    <row r="1002" spans="2:9" ht="21" customHeight="1" x14ac:dyDescent="0.3">
      <c r="B1002" s="13" t="s">
        <v>348</v>
      </c>
      <c r="C1002" s="13" t="s">
        <v>232</v>
      </c>
      <c r="D1002" s="13" t="s">
        <v>246</v>
      </c>
      <c r="E1002" s="13" t="s">
        <v>79</v>
      </c>
      <c r="F1002" s="7">
        <v>45881</v>
      </c>
      <c r="H1002" s="2">
        <v>1</v>
      </c>
      <c r="I1002" s="217" t="s">
        <v>79</v>
      </c>
    </row>
    <row r="1003" spans="2:9" ht="21" customHeight="1" x14ac:dyDescent="0.3">
      <c r="B1003" s="13" t="s">
        <v>348</v>
      </c>
      <c r="C1003" s="13" t="s">
        <v>232</v>
      </c>
      <c r="D1003" s="13" t="s">
        <v>246</v>
      </c>
      <c r="E1003" s="13" t="s">
        <v>79</v>
      </c>
      <c r="F1003" s="7">
        <v>45882</v>
      </c>
      <c r="H1003" s="2">
        <v>1</v>
      </c>
      <c r="I1003" s="217" t="s">
        <v>79</v>
      </c>
    </row>
    <row r="1004" spans="2:9" ht="21" customHeight="1" x14ac:dyDescent="0.3">
      <c r="B1004" s="13" t="s">
        <v>348</v>
      </c>
      <c r="C1004" s="13" t="s">
        <v>232</v>
      </c>
      <c r="D1004" s="13" t="s">
        <v>246</v>
      </c>
      <c r="E1004" s="13" t="s">
        <v>79</v>
      </c>
      <c r="F1004" s="7">
        <v>45883</v>
      </c>
      <c r="H1004" s="2">
        <v>1</v>
      </c>
      <c r="I1004" s="217" t="s">
        <v>79</v>
      </c>
    </row>
    <row r="1005" spans="2:9" ht="21" customHeight="1" x14ac:dyDescent="0.3">
      <c r="B1005" s="13" t="s">
        <v>352</v>
      </c>
      <c r="C1005" s="13" t="s">
        <v>233</v>
      </c>
      <c r="D1005" s="13" t="s">
        <v>246</v>
      </c>
      <c r="E1005" s="13" t="s">
        <v>79</v>
      </c>
      <c r="F1005" s="7">
        <v>45875</v>
      </c>
      <c r="H1005" s="2">
        <v>1</v>
      </c>
      <c r="I1005" s="217" t="s">
        <v>79</v>
      </c>
    </row>
    <row r="1006" spans="2:9" ht="21" customHeight="1" x14ac:dyDescent="0.3">
      <c r="B1006" s="13" t="s">
        <v>352</v>
      </c>
      <c r="C1006" s="13" t="s">
        <v>233</v>
      </c>
      <c r="D1006" s="13" t="s">
        <v>246</v>
      </c>
      <c r="E1006" s="13" t="s">
        <v>79</v>
      </c>
      <c r="F1006" s="7">
        <v>45876</v>
      </c>
      <c r="H1006" s="2">
        <v>1</v>
      </c>
      <c r="I1006" s="217" t="s">
        <v>79</v>
      </c>
    </row>
    <row r="1007" spans="2:9" ht="21" customHeight="1" x14ac:dyDescent="0.3">
      <c r="B1007" s="13" t="s">
        <v>352</v>
      </c>
      <c r="C1007" s="13" t="s">
        <v>233</v>
      </c>
      <c r="D1007" s="13" t="s">
        <v>246</v>
      </c>
      <c r="E1007" s="13" t="s">
        <v>79</v>
      </c>
      <c r="F1007" s="7">
        <v>45877</v>
      </c>
      <c r="H1007" s="2">
        <v>1</v>
      </c>
      <c r="I1007" s="217" t="s">
        <v>79</v>
      </c>
    </row>
    <row r="1008" spans="2:9" ht="21" customHeight="1" x14ac:dyDescent="0.3">
      <c r="B1008" s="13" t="s">
        <v>337</v>
      </c>
      <c r="C1008" s="13" t="s">
        <v>232</v>
      </c>
      <c r="D1008" s="13" t="s">
        <v>244</v>
      </c>
      <c r="E1008" s="13" t="s">
        <v>79</v>
      </c>
      <c r="F1008" s="7">
        <v>45901</v>
      </c>
      <c r="H1008" s="2">
        <v>1</v>
      </c>
      <c r="I1008" s="217" t="s">
        <v>79</v>
      </c>
    </row>
    <row r="1009" spans="2:10" ht="21" customHeight="1" x14ac:dyDescent="0.3">
      <c r="B1009" s="13" t="s">
        <v>219</v>
      </c>
      <c r="C1009" s="13" t="s">
        <v>233</v>
      </c>
      <c r="D1009" s="13" t="s">
        <v>241</v>
      </c>
      <c r="E1009" s="13" t="s">
        <v>81</v>
      </c>
      <c r="F1009" s="7">
        <v>45930</v>
      </c>
      <c r="H1009" s="2">
        <v>0.5</v>
      </c>
      <c r="I1009" s="217" t="s">
        <v>81</v>
      </c>
    </row>
    <row r="1010" spans="2:10" ht="21" customHeight="1" x14ac:dyDescent="0.3">
      <c r="B1010" s="13" t="s">
        <v>228</v>
      </c>
      <c r="C1010" s="13" t="s">
        <v>233</v>
      </c>
      <c r="D1010" s="13" t="s">
        <v>246</v>
      </c>
      <c r="E1010" s="13" t="s">
        <v>81</v>
      </c>
      <c r="F1010" s="7">
        <v>45919</v>
      </c>
      <c r="H1010" s="2">
        <v>0.5</v>
      </c>
      <c r="I1010" s="217" t="s">
        <v>81</v>
      </c>
    </row>
    <row r="1011" spans="2:10" ht="21" customHeight="1" x14ac:dyDescent="0.3">
      <c r="B1011" s="13" t="s">
        <v>228</v>
      </c>
      <c r="C1011" s="13" t="s">
        <v>233</v>
      </c>
      <c r="D1011" s="13" t="s">
        <v>246</v>
      </c>
      <c r="E1011" s="13" t="s">
        <v>79</v>
      </c>
      <c r="F1011" s="7">
        <v>45926</v>
      </c>
      <c r="H1011" s="2">
        <v>1</v>
      </c>
      <c r="I1011" s="217" t="s">
        <v>79</v>
      </c>
    </row>
    <row r="1012" spans="2:10" ht="21" customHeight="1" x14ac:dyDescent="0.3">
      <c r="B1012" s="13" t="s">
        <v>231</v>
      </c>
      <c r="C1012" s="13" t="s">
        <v>235</v>
      </c>
      <c r="D1012" s="13" t="s">
        <v>246</v>
      </c>
      <c r="E1012" s="13" t="s">
        <v>79</v>
      </c>
      <c r="F1012" s="7">
        <v>45915</v>
      </c>
      <c r="H1012" s="2">
        <v>1</v>
      </c>
      <c r="I1012" s="217" t="s">
        <v>79</v>
      </c>
    </row>
    <row r="1013" spans="2:10" ht="21" customHeight="1" x14ac:dyDescent="0.3">
      <c r="B1013" s="13" t="s">
        <v>231</v>
      </c>
      <c r="C1013" s="13" t="s">
        <v>235</v>
      </c>
      <c r="D1013" s="13" t="s">
        <v>246</v>
      </c>
      <c r="E1013" s="13" t="s">
        <v>79</v>
      </c>
      <c r="F1013" s="7">
        <v>45922</v>
      </c>
      <c r="H1013" s="2">
        <v>1</v>
      </c>
      <c r="I1013" s="217" t="s">
        <v>79</v>
      </c>
    </row>
    <row r="1014" spans="2:10" ht="21" customHeight="1" x14ac:dyDescent="0.3">
      <c r="B1014" s="13" t="s">
        <v>222</v>
      </c>
      <c r="C1014" s="13" t="s">
        <v>235</v>
      </c>
      <c r="D1014" s="13" t="s">
        <v>243</v>
      </c>
      <c r="E1014" s="13" t="s">
        <v>79</v>
      </c>
      <c r="F1014" s="7">
        <v>45905</v>
      </c>
      <c r="H1014" s="2">
        <v>1</v>
      </c>
      <c r="I1014" s="217" t="s">
        <v>79</v>
      </c>
    </row>
    <row r="1015" spans="2:10" ht="21" customHeight="1" x14ac:dyDescent="0.3">
      <c r="B1015" s="13" t="s">
        <v>222</v>
      </c>
      <c r="C1015" s="13" t="s">
        <v>235</v>
      </c>
      <c r="D1015" s="13" t="s">
        <v>243</v>
      </c>
      <c r="E1015" s="13" t="s">
        <v>81</v>
      </c>
      <c r="F1015" s="7">
        <v>45926</v>
      </c>
      <c r="H1015" s="2">
        <v>0.5</v>
      </c>
      <c r="I1015" s="217" t="s">
        <v>81</v>
      </c>
    </row>
    <row r="1016" spans="2:10" ht="21" customHeight="1" x14ac:dyDescent="0.3">
      <c r="B1016" s="13" t="s">
        <v>348</v>
      </c>
      <c r="C1016" s="13" t="s">
        <v>232</v>
      </c>
      <c r="D1016" s="13" t="s">
        <v>246</v>
      </c>
      <c r="E1016" s="13" t="s">
        <v>79</v>
      </c>
      <c r="F1016" s="7">
        <v>45908</v>
      </c>
      <c r="H1016" s="2">
        <v>1</v>
      </c>
      <c r="I1016" s="217" t="s">
        <v>79</v>
      </c>
    </row>
    <row r="1017" spans="2:10" ht="21" customHeight="1" x14ac:dyDescent="0.3">
      <c r="B1017" s="13" t="s">
        <v>348</v>
      </c>
      <c r="C1017" s="13" t="s">
        <v>232</v>
      </c>
      <c r="D1017" s="13" t="s">
        <v>246</v>
      </c>
      <c r="E1017" s="13" t="s">
        <v>79</v>
      </c>
      <c r="F1017" s="7">
        <v>45909</v>
      </c>
      <c r="H1017" s="2">
        <v>1</v>
      </c>
      <c r="I1017" s="217" t="s">
        <v>79</v>
      </c>
    </row>
    <row r="1018" spans="2:10" ht="21" customHeight="1" x14ac:dyDescent="0.3">
      <c r="B1018" s="13" t="s">
        <v>348</v>
      </c>
      <c r="C1018" s="13" t="s">
        <v>232</v>
      </c>
      <c r="D1018" s="13" t="s">
        <v>246</v>
      </c>
      <c r="E1018" s="13" t="s">
        <v>79</v>
      </c>
      <c r="F1018" s="7">
        <v>45910</v>
      </c>
      <c r="H1018" s="2">
        <v>1</v>
      </c>
      <c r="I1018" s="217" t="s">
        <v>79</v>
      </c>
    </row>
    <row r="1019" spans="2:10" ht="21" customHeight="1" x14ac:dyDescent="0.3">
      <c r="B1019" s="13" t="s">
        <v>348</v>
      </c>
      <c r="C1019" s="13" t="s">
        <v>232</v>
      </c>
      <c r="D1019" s="13" t="s">
        <v>246</v>
      </c>
      <c r="E1019" s="13" t="s">
        <v>79</v>
      </c>
      <c r="F1019" s="7">
        <v>45911</v>
      </c>
      <c r="H1019" s="2">
        <v>1</v>
      </c>
      <c r="I1019" s="217" t="s">
        <v>79</v>
      </c>
    </row>
    <row r="1020" spans="2:10" ht="21" customHeight="1" x14ac:dyDescent="0.3">
      <c r="B1020" s="13" t="s">
        <v>348</v>
      </c>
      <c r="C1020" s="13" t="s">
        <v>232</v>
      </c>
      <c r="D1020" s="13" t="s">
        <v>246</v>
      </c>
      <c r="E1020" s="13" t="s">
        <v>79</v>
      </c>
      <c r="F1020" s="7">
        <v>45912</v>
      </c>
      <c r="H1020" s="2">
        <v>1</v>
      </c>
      <c r="I1020" s="217" t="s">
        <v>79</v>
      </c>
    </row>
    <row r="1021" spans="2:10" ht="21" customHeight="1" x14ac:dyDescent="0.3">
      <c r="B1021" s="13" t="s">
        <v>348</v>
      </c>
      <c r="C1021" s="13" t="s">
        <v>232</v>
      </c>
      <c r="D1021" s="13" t="s">
        <v>246</v>
      </c>
      <c r="E1021" s="13" t="s">
        <v>79</v>
      </c>
      <c r="F1021" s="7">
        <v>45915</v>
      </c>
      <c r="H1021" s="2">
        <v>1</v>
      </c>
      <c r="I1021" s="217" t="s">
        <v>79</v>
      </c>
    </row>
    <row r="1022" spans="2:10" ht="21" customHeight="1" x14ac:dyDescent="0.3">
      <c r="B1022" s="13" t="s">
        <v>352</v>
      </c>
      <c r="C1022" s="13" t="s">
        <v>233</v>
      </c>
      <c r="D1022" s="13" t="s">
        <v>246</v>
      </c>
      <c r="E1022" s="13" t="s">
        <v>81</v>
      </c>
      <c r="F1022" s="7">
        <v>45901</v>
      </c>
      <c r="H1022" s="2">
        <v>0.5</v>
      </c>
      <c r="I1022" s="217" t="s">
        <v>81</v>
      </c>
    </row>
    <row r="1023" spans="2:10" ht="21" customHeight="1" x14ac:dyDescent="0.3">
      <c r="B1023" s="13" t="s">
        <v>353</v>
      </c>
      <c r="C1023" s="13" t="s">
        <v>233</v>
      </c>
      <c r="D1023" s="13" t="s">
        <v>246</v>
      </c>
      <c r="E1023" s="13" t="s">
        <v>79</v>
      </c>
      <c r="F1023" s="7">
        <v>45916</v>
      </c>
      <c r="H1023" s="2">
        <v>1</v>
      </c>
      <c r="I1023" s="217" t="s">
        <v>79</v>
      </c>
      <c r="J1023" s="16" t="s">
        <v>86</v>
      </c>
    </row>
    <row r="1024" spans="2:10" ht="21" customHeight="1" x14ac:dyDescent="0.3">
      <c r="B1024" s="13" t="s">
        <v>353</v>
      </c>
      <c r="C1024" s="13" t="s">
        <v>233</v>
      </c>
      <c r="D1024" s="13" t="s">
        <v>246</v>
      </c>
      <c r="E1024" s="13" t="s">
        <v>79</v>
      </c>
      <c r="F1024" s="7">
        <v>45917</v>
      </c>
      <c r="H1024" s="2">
        <v>1</v>
      </c>
      <c r="I1024" s="217" t="s">
        <v>79</v>
      </c>
      <c r="J1024" s="16" t="s">
        <v>86</v>
      </c>
    </row>
    <row r="1025" spans="2:10" ht="21" customHeight="1" x14ac:dyDescent="0.3">
      <c r="B1025" s="13" t="s">
        <v>353</v>
      </c>
      <c r="C1025" s="13" t="s">
        <v>233</v>
      </c>
      <c r="D1025" s="13" t="s">
        <v>246</v>
      </c>
      <c r="E1025" s="13" t="s">
        <v>79</v>
      </c>
      <c r="F1025" s="7">
        <v>45918</v>
      </c>
      <c r="H1025" s="2">
        <v>1</v>
      </c>
      <c r="I1025" s="217" t="s">
        <v>79</v>
      </c>
      <c r="J1025" s="16" t="s">
        <v>86</v>
      </c>
    </row>
    <row r="1026" spans="2:10" ht="21" customHeight="1" x14ac:dyDescent="0.3">
      <c r="B1026" s="13" t="s">
        <v>353</v>
      </c>
      <c r="C1026" s="13" t="s">
        <v>233</v>
      </c>
      <c r="D1026" s="13" t="s">
        <v>246</v>
      </c>
      <c r="E1026" s="13" t="s">
        <v>81</v>
      </c>
      <c r="F1026" s="7">
        <v>45924</v>
      </c>
      <c r="H1026" s="2">
        <v>0.5</v>
      </c>
      <c r="I1026" s="217" t="s">
        <v>81</v>
      </c>
    </row>
    <row r="1027" spans="2:10" ht="21" customHeight="1" x14ac:dyDescent="0.3">
      <c r="B1027" s="13" t="s">
        <v>291</v>
      </c>
      <c r="C1027" s="13" t="s">
        <v>232</v>
      </c>
      <c r="D1027" s="13" t="s">
        <v>241</v>
      </c>
      <c r="E1027" s="13" t="s">
        <v>390</v>
      </c>
      <c r="F1027" s="7">
        <v>45905</v>
      </c>
      <c r="H1027" s="2">
        <v>0.5</v>
      </c>
      <c r="I1027" s="217" t="s">
        <v>81</v>
      </c>
      <c r="J1027" s="16" t="s">
        <v>391</v>
      </c>
    </row>
    <row r="1028" spans="2:10" ht="21" customHeight="1" x14ac:dyDescent="0.3">
      <c r="B1028" s="13" t="s">
        <v>267</v>
      </c>
      <c r="C1028" s="13" t="s">
        <v>232</v>
      </c>
      <c r="D1028" s="13" t="s">
        <v>241</v>
      </c>
      <c r="E1028" s="13" t="s">
        <v>258</v>
      </c>
      <c r="F1028" s="7">
        <v>45940</v>
      </c>
      <c r="H1028" s="2">
        <v>1</v>
      </c>
      <c r="I1028" s="217" t="s">
        <v>79</v>
      </c>
    </row>
    <row r="1029" spans="2:10" ht="21" customHeight="1" x14ac:dyDescent="0.3">
      <c r="B1029" s="13" t="s">
        <v>267</v>
      </c>
      <c r="C1029" s="13" t="s">
        <v>232</v>
      </c>
      <c r="D1029" s="13" t="s">
        <v>241</v>
      </c>
      <c r="E1029" s="13" t="s">
        <v>258</v>
      </c>
      <c r="F1029" s="7">
        <v>45947</v>
      </c>
      <c r="H1029" s="2">
        <v>1</v>
      </c>
      <c r="I1029" s="217" t="s">
        <v>79</v>
      </c>
    </row>
    <row r="1030" spans="2:10" ht="21" customHeight="1" x14ac:dyDescent="0.3">
      <c r="B1030" s="13" t="s">
        <v>291</v>
      </c>
      <c r="C1030" s="13" t="s">
        <v>232</v>
      </c>
      <c r="D1030" s="13" t="s">
        <v>241</v>
      </c>
      <c r="E1030" s="13" t="s">
        <v>258</v>
      </c>
      <c r="F1030" s="7">
        <v>45940</v>
      </c>
      <c r="H1030" s="2">
        <v>1</v>
      </c>
      <c r="I1030" s="217" t="s">
        <v>79</v>
      </c>
    </row>
    <row r="1031" spans="2:10" ht="21" customHeight="1" x14ac:dyDescent="0.3">
      <c r="B1031" s="13" t="s">
        <v>291</v>
      </c>
      <c r="C1031" s="13" t="s">
        <v>232</v>
      </c>
      <c r="D1031" s="13" t="s">
        <v>241</v>
      </c>
      <c r="E1031" s="13" t="s">
        <v>258</v>
      </c>
      <c r="F1031" s="7">
        <v>45961</v>
      </c>
      <c r="H1031" s="2">
        <v>1</v>
      </c>
      <c r="I1031" s="217" t="s">
        <v>79</v>
      </c>
    </row>
    <row r="1032" spans="2:10" ht="21" customHeight="1" x14ac:dyDescent="0.3">
      <c r="B1032" s="13" t="s">
        <v>337</v>
      </c>
      <c r="C1032" s="13" t="s">
        <v>232</v>
      </c>
      <c r="D1032" s="13" t="s">
        <v>244</v>
      </c>
      <c r="E1032" s="13" t="s">
        <v>258</v>
      </c>
      <c r="F1032" s="7">
        <v>45940</v>
      </c>
      <c r="H1032" s="2">
        <v>1</v>
      </c>
      <c r="I1032" s="217" t="s">
        <v>79</v>
      </c>
    </row>
    <row r="1033" spans="2:10" ht="21" customHeight="1" x14ac:dyDescent="0.3">
      <c r="B1033" s="13" t="s">
        <v>389</v>
      </c>
      <c r="C1033" s="13" t="s">
        <v>232</v>
      </c>
      <c r="D1033" s="13" t="s">
        <v>244</v>
      </c>
      <c r="E1033" s="13" t="s">
        <v>258</v>
      </c>
      <c r="F1033" s="7">
        <v>45940</v>
      </c>
      <c r="H1033" s="2">
        <v>1</v>
      </c>
      <c r="I1033" s="217" t="s">
        <v>79</v>
      </c>
    </row>
    <row r="1034" spans="2:10" ht="21" customHeight="1" x14ac:dyDescent="0.3">
      <c r="B1034" s="13" t="s">
        <v>219</v>
      </c>
      <c r="C1034" s="13" t="s">
        <v>233</v>
      </c>
      <c r="D1034" s="13" t="s">
        <v>241</v>
      </c>
      <c r="E1034" s="13" t="s">
        <v>258</v>
      </c>
      <c r="F1034" s="7">
        <v>45940</v>
      </c>
      <c r="H1034" s="2">
        <v>1</v>
      </c>
      <c r="I1034" s="217" t="s">
        <v>79</v>
      </c>
    </row>
    <row r="1035" spans="2:10" ht="21" customHeight="1" x14ac:dyDescent="0.3">
      <c r="B1035" s="13" t="s">
        <v>228</v>
      </c>
      <c r="C1035" s="13" t="s">
        <v>233</v>
      </c>
      <c r="D1035" s="13" t="s">
        <v>246</v>
      </c>
      <c r="E1035" s="13" t="s">
        <v>258</v>
      </c>
      <c r="F1035" s="7">
        <v>45940</v>
      </c>
      <c r="H1035" s="2">
        <v>1</v>
      </c>
      <c r="I1035" s="217" t="s">
        <v>79</v>
      </c>
    </row>
    <row r="1036" spans="2:10" ht="21" customHeight="1" x14ac:dyDescent="0.3">
      <c r="B1036" s="13" t="s">
        <v>231</v>
      </c>
      <c r="C1036" s="13" t="s">
        <v>235</v>
      </c>
      <c r="D1036" s="13" t="s">
        <v>246</v>
      </c>
      <c r="E1036" s="13" t="s">
        <v>258</v>
      </c>
      <c r="F1036" s="7">
        <v>45940</v>
      </c>
      <c r="H1036" s="2">
        <v>1</v>
      </c>
      <c r="I1036" s="217" t="s">
        <v>79</v>
      </c>
    </row>
    <row r="1037" spans="2:10" ht="21" customHeight="1" x14ac:dyDescent="0.3">
      <c r="B1037" s="13" t="s">
        <v>222</v>
      </c>
      <c r="C1037" s="13" t="s">
        <v>235</v>
      </c>
      <c r="D1037" s="13" t="s">
        <v>243</v>
      </c>
      <c r="E1037" s="13" t="s">
        <v>258</v>
      </c>
      <c r="F1037" s="7">
        <v>45940</v>
      </c>
      <c r="H1037" s="2">
        <v>1</v>
      </c>
      <c r="I1037" s="217" t="s">
        <v>79</v>
      </c>
    </row>
    <row r="1038" spans="2:10" ht="21" customHeight="1" x14ac:dyDescent="0.3">
      <c r="B1038" s="13" t="s">
        <v>352</v>
      </c>
      <c r="C1038" s="13" t="s">
        <v>233</v>
      </c>
      <c r="D1038" s="13" t="s">
        <v>246</v>
      </c>
      <c r="E1038" s="13" t="s">
        <v>258</v>
      </c>
      <c r="F1038" s="7">
        <v>45940</v>
      </c>
      <c r="H1038" s="2">
        <v>1</v>
      </c>
      <c r="I1038" s="217" t="s">
        <v>79</v>
      </c>
    </row>
    <row r="1039" spans="2:10" ht="21" customHeight="1" x14ac:dyDescent="0.3">
      <c r="B1039" s="13" t="s">
        <v>352</v>
      </c>
      <c r="C1039" s="13" t="s">
        <v>233</v>
      </c>
      <c r="D1039" s="13" t="s">
        <v>246</v>
      </c>
      <c r="E1039" s="13" t="s">
        <v>258</v>
      </c>
      <c r="F1039" s="7">
        <v>45957</v>
      </c>
      <c r="H1039" s="2">
        <v>1</v>
      </c>
      <c r="I1039" s="217" t="s">
        <v>79</v>
      </c>
    </row>
    <row r="1040" spans="2:10" ht="21" customHeight="1" x14ac:dyDescent="0.3">
      <c r="B1040" s="13" t="s">
        <v>353</v>
      </c>
      <c r="C1040" s="13" t="s">
        <v>233</v>
      </c>
      <c r="D1040" s="13" t="s">
        <v>246</v>
      </c>
      <c r="E1040" s="13" t="s">
        <v>258</v>
      </c>
      <c r="F1040" s="7">
        <v>45940</v>
      </c>
      <c r="H1040" s="2">
        <v>1</v>
      </c>
      <c r="I1040" s="217" t="s">
        <v>79</v>
      </c>
    </row>
    <row r="1041" spans="2:9" ht="21" customHeight="1" x14ac:dyDescent="0.3">
      <c r="B1041" s="13" t="s">
        <v>392</v>
      </c>
      <c r="C1041" s="13" t="s">
        <v>233</v>
      </c>
      <c r="D1041" s="13" t="s">
        <v>246</v>
      </c>
      <c r="E1041" s="13" t="s">
        <v>258</v>
      </c>
      <c r="F1041" s="7">
        <v>45940</v>
      </c>
      <c r="H1041" s="2">
        <v>1</v>
      </c>
      <c r="I1041" s="217" t="s">
        <v>79</v>
      </c>
    </row>
    <row r="1042" spans="2:9" ht="21" customHeight="1" x14ac:dyDescent="0.3">
      <c r="B1042" s="13" t="s">
        <v>267</v>
      </c>
      <c r="C1042" s="13" t="s">
        <v>232</v>
      </c>
      <c r="D1042" s="13" t="s">
        <v>241</v>
      </c>
      <c r="E1042" s="13" t="s">
        <v>281</v>
      </c>
      <c r="F1042" s="7">
        <v>45965</v>
      </c>
      <c r="H1042" s="2">
        <v>0.5</v>
      </c>
      <c r="I1042" s="217" t="s">
        <v>81</v>
      </c>
    </row>
    <row r="1043" spans="2:9" ht="21" customHeight="1" x14ac:dyDescent="0.3">
      <c r="B1043" s="13" t="s">
        <v>267</v>
      </c>
      <c r="C1043" s="13" t="s">
        <v>232</v>
      </c>
      <c r="D1043" s="13" t="s">
        <v>241</v>
      </c>
      <c r="E1043" s="13" t="s">
        <v>258</v>
      </c>
      <c r="F1043" s="7">
        <v>45971</v>
      </c>
      <c r="H1043" s="2">
        <v>1</v>
      </c>
      <c r="I1043" s="217" t="s">
        <v>79</v>
      </c>
    </row>
    <row r="1044" spans="2:9" ht="21" customHeight="1" x14ac:dyDescent="0.3">
      <c r="B1044" s="13" t="s">
        <v>267</v>
      </c>
      <c r="C1044" s="13" t="s">
        <v>232</v>
      </c>
      <c r="D1044" s="13" t="s">
        <v>241</v>
      </c>
      <c r="E1044" s="13" t="s">
        <v>281</v>
      </c>
      <c r="F1044" s="7">
        <v>45982</v>
      </c>
      <c r="H1044" s="2">
        <v>0.5</v>
      </c>
      <c r="I1044" s="217" t="s">
        <v>81</v>
      </c>
    </row>
    <row r="1045" spans="2:9" ht="21" customHeight="1" x14ac:dyDescent="0.3">
      <c r="B1045" s="13" t="s">
        <v>337</v>
      </c>
      <c r="C1045" s="13" t="s">
        <v>232</v>
      </c>
      <c r="D1045" s="13" t="s">
        <v>244</v>
      </c>
      <c r="E1045" s="13" t="s">
        <v>258</v>
      </c>
      <c r="F1045" s="7">
        <v>45985</v>
      </c>
      <c r="H1045" s="2">
        <v>1</v>
      </c>
      <c r="I1045" s="217" t="s">
        <v>79</v>
      </c>
    </row>
    <row r="1046" spans="2:9" ht="21" customHeight="1" x14ac:dyDescent="0.3">
      <c r="B1046" s="13" t="s">
        <v>389</v>
      </c>
      <c r="C1046" s="13" t="s">
        <v>232</v>
      </c>
      <c r="D1046" s="13" t="s">
        <v>244</v>
      </c>
      <c r="E1046" s="13" t="s">
        <v>258</v>
      </c>
      <c r="F1046" s="7">
        <v>45978</v>
      </c>
      <c r="H1046" s="2">
        <v>1</v>
      </c>
      <c r="I1046" s="217" t="s">
        <v>79</v>
      </c>
    </row>
    <row r="1047" spans="2:9" ht="21" customHeight="1" x14ac:dyDescent="0.3">
      <c r="B1047" s="13" t="s">
        <v>219</v>
      </c>
      <c r="C1047" s="13" t="s">
        <v>233</v>
      </c>
      <c r="D1047" s="13" t="s">
        <v>241</v>
      </c>
      <c r="E1047" s="13" t="s">
        <v>258</v>
      </c>
      <c r="F1047" s="7">
        <v>45968</v>
      </c>
      <c r="H1047" s="2">
        <v>1</v>
      </c>
      <c r="I1047" s="217" t="s">
        <v>79</v>
      </c>
    </row>
    <row r="1048" spans="2:9" ht="21" customHeight="1" x14ac:dyDescent="0.3">
      <c r="B1048" s="13" t="s">
        <v>228</v>
      </c>
      <c r="C1048" s="13" t="s">
        <v>233</v>
      </c>
      <c r="D1048" s="13" t="s">
        <v>246</v>
      </c>
      <c r="E1048" s="13" t="s">
        <v>281</v>
      </c>
      <c r="F1048" s="7">
        <v>45975</v>
      </c>
      <c r="H1048" s="2">
        <v>0.5</v>
      </c>
      <c r="I1048" s="217" t="s">
        <v>81</v>
      </c>
    </row>
    <row r="1049" spans="2:9" ht="21" customHeight="1" x14ac:dyDescent="0.3">
      <c r="B1049" s="13" t="s">
        <v>228</v>
      </c>
      <c r="C1049" s="13" t="s">
        <v>233</v>
      </c>
      <c r="D1049" s="13" t="s">
        <v>246</v>
      </c>
      <c r="E1049" s="13" t="s">
        <v>258</v>
      </c>
      <c r="F1049" s="7">
        <v>45978</v>
      </c>
      <c r="H1049" s="2">
        <v>1</v>
      </c>
      <c r="I1049" s="217" t="s">
        <v>79</v>
      </c>
    </row>
    <row r="1050" spans="2:9" ht="21" customHeight="1" x14ac:dyDescent="0.3">
      <c r="B1050" s="13" t="s">
        <v>231</v>
      </c>
      <c r="C1050" s="13" t="s">
        <v>235</v>
      </c>
      <c r="D1050" s="13" t="s">
        <v>246</v>
      </c>
      <c r="E1050" s="13" t="s">
        <v>281</v>
      </c>
      <c r="F1050" s="7">
        <v>45968</v>
      </c>
      <c r="H1050" s="2">
        <v>0.5</v>
      </c>
      <c r="I1050" s="217" t="s">
        <v>81</v>
      </c>
    </row>
    <row r="1051" spans="2:9" ht="21" customHeight="1" x14ac:dyDescent="0.3">
      <c r="B1051" s="13" t="s">
        <v>231</v>
      </c>
      <c r="C1051" s="13" t="s">
        <v>235</v>
      </c>
      <c r="D1051" s="13" t="s">
        <v>246</v>
      </c>
      <c r="E1051" s="13" t="s">
        <v>258</v>
      </c>
      <c r="F1051" s="7">
        <v>45978</v>
      </c>
      <c r="H1051" s="2">
        <v>1</v>
      </c>
      <c r="I1051" s="217" t="s">
        <v>79</v>
      </c>
    </row>
    <row r="1052" spans="2:9" ht="21" customHeight="1" x14ac:dyDescent="0.3">
      <c r="B1052" s="13" t="s">
        <v>231</v>
      </c>
      <c r="C1052" s="13" t="s">
        <v>235</v>
      </c>
      <c r="D1052" s="13" t="s">
        <v>246</v>
      </c>
      <c r="E1052" s="13" t="s">
        <v>258</v>
      </c>
      <c r="F1052" s="7">
        <v>45985</v>
      </c>
      <c r="H1052" s="2">
        <v>1</v>
      </c>
      <c r="I1052" s="217" t="s">
        <v>79</v>
      </c>
    </row>
    <row r="1053" spans="2:9" ht="21" customHeight="1" x14ac:dyDescent="0.3">
      <c r="B1053" s="13" t="s">
        <v>222</v>
      </c>
      <c r="C1053" s="13" t="s">
        <v>235</v>
      </c>
      <c r="D1053" s="13" t="s">
        <v>243</v>
      </c>
      <c r="E1053" s="13" t="s">
        <v>258</v>
      </c>
      <c r="F1053" s="7">
        <v>45975</v>
      </c>
      <c r="H1053" s="2">
        <v>1</v>
      </c>
      <c r="I1053" s="217" t="s">
        <v>79</v>
      </c>
    </row>
    <row r="1054" spans="2:9" ht="21" customHeight="1" x14ac:dyDescent="0.3">
      <c r="B1054" s="13" t="s">
        <v>352</v>
      </c>
      <c r="C1054" s="13" t="s">
        <v>233</v>
      </c>
      <c r="D1054" s="13" t="s">
        <v>246</v>
      </c>
      <c r="E1054" s="13" t="s">
        <v>258</v>
      </c>
      <c r="F1054" s="7">
        <v>45974</v>
      </c>
      <c r="H1054" s="2">
        <v>1</v>
      </c>
      <c r="I1054" s="217" t="s">
        <v>79</v>
      </c>
    </row>
    <row r="1055" spans="2:9" ht="21" customHeight="1" x14ac:dyDescent="0.3">
      <c r="B1055" s="13" t="s">
        <v>352</v>
      </c>
      <c r="C1055" s="13" t="s">
        <v>233</v>
      </c>
      <c r="D1055" s="13" t="s">
        <v>246</v>
      </c>
      <c r="E1055" s="13" t="s">
        <v>258</v>
      </c>
      <c r="F1055" s="7">
        <v>45989</v>
      </c>
      <c r="H1055" s="2">
        <v>1</v>
      </c>
      <c r="I1055" s="217" t="s">
        <v>79</v>
      </c>
    </row>
    <row r="1056" spans="2:9" ht="21" customHeight="1" x14ac:dyDescent="0.3">
      <c r="B1056" s="13" t="s">
        <v>353</v>
      </c>
      <c r="C1056" s="13" t="s">
        <v>233</v>
      </c>
      <c r="D1056" s="13" t="s">
        <v>246</v>
      </c>
      <c r="E1056" s="13" t="s">
        <v>258</v>
      </c>
      <c r="F1056" s="7">
        <v>45989</v>
      </c>
      <c r="H1056" s="2">
        <v>1</v>
      </c>
      <c r="I1056" s="217" t="s">
        <v>79</v>
      </c>
    </row>
    <row r="1057" spans="2:9" ht="21" customHeight="1" x14ac:dyDescent="0.3">
      <c r="B1057" s="13" t="s">
        <v>353</v>
      </c>
      <c r="C1057" s="13" t="s">
        <v>233</v>
      </c>
      <c r="D1057" s="13" t="s">
        <v>246</v>
      </c>
      <c r="E1057" s="13" t="s">
        <v>258</v>
      </c>
      <c r="F1057" s="7">
        <v>45898</v>
      </c>
      <c r="H1057" s="2">
        <v>1</v>
      </c>
      <c r="I1057" s="217" t="s">
        <v>79</v>
      </c>
    </row>
    <row r="1058" spans="2:9" ht="21" customHeight="1" x14ac:dyDescent="0.3">
      <c r="B1058" s="13" t="s">
        <v>353</v>
      </c>
      <c r="C1058" s="13" t="s">
        <v>233</v>
      </c>
      <c r="D1058" s="13" t="s">
        <v>246</v>
      </c>
      <c r="E1058" s="13" t="s">
        <v>258</v>
      </c>
      <c r="F1058" s="7">
        <v>45869</v>
      </c>
      <c r="H1058" s="2">
        <v>1</v>
      </c>
      <c r="I1058" s="217" t="s">
        <v>79</v>
      </c>
    </row>
    <row r="1059" spans="2:9" ht="21" customHeight="1" x14ac:dyDescent="0.3">
      <c r="B1059" s="13" t="s">
        <v>267</v>
      </c>
      <c r="C1059" s="13" t="s">
        <v>232</v>
      </c>
      <c r="D1059" s="13" t="s">
        <v>241</v>
      </c>
      <c r="E1059" s="13" t="s">
        <v>81</v>
      </c>
      <c r="F1059" s="7">
        <v>46007</v>
      </c>
      <c r="H1059" s="2">
        <v>0.5</v>
      </c>
      <c r="I1059" s="217" t="s">
        <v>81</v>
      </c>
    </row>
    <row r="1060" spans="2:9" ht="21" customHeight="1" x14ac:dyDescent="0.3">
      <c r="B1060" s="13" t="s">
        <v>267</v>
      </c>
      <c r="C1060" s="13" t="s">
        <v>232</v>
      </c>
      <c r="D1060" s="13" t="s">
        <v>241</v>
      </c>
      <c r="E1060" s="13" t="s">
        <v>81</v>
      </c>
      <c r="F1060" s="7">
        <v>46009</v>
      </c>
      <c r="H1060" s="2">
        <v>0.5</v>
      </c>
      <c r="I1060" s="217" t="s">
        <v>81</v>
      </c>
    </row>
    <row r="1061" spans="2:9" ht="21" customHeight="1" x14ac:dyDescent="0.3">
      <c r="B1061" s="13" t="s">
        <v>267</v>
      </c>
      <c r="C1061" s="13" t="s">
        <v>232</v>
      </c>
      <c r="D1061" s="13" t="s">
        <v>241</v>
      </c>
      <c r="E1061" s="13" t="s">
        <v>81</v>
      </c>
      <c r="F1061" s="7">
        <v>46013</v>
      </c>
      <c r="H1061" s="2">
        <v>0.5</v>
      </c>
      <c r="I1061" s="217" t="s">
        <v>81</v>
      </c>
    </row>
    <row r="1062" spans="2:9" ht="21" customHeight="1" x14ac:dyDescent="0.3">
      <c r="B1062" s="13" t="s">
        <v>267</v>
      </c>
      <c r="C1062" s="13" t="s">
        <v>232</v>
      </c>
      <c r="D1062" s="13" t="s">
        <v>241</v>
      </c>
      <c r="E1062" s="13" t="s">
        <v>81</v>
      </c>
      <c r="F1062" s="7">
        <v>46015</v>
      </c>
      <c r="H1062" s="2">
        <v>0.5</v>
      </c>
      <c r="I1062" s="217" t="s">
        <v>81</v>
      </c>
    </row>
    <row r="1063" spans="2:9" ht="21" customHeight="1" x14ac:dyDescent="0.3">
      <c r="B1063" s="13" t="s">
        <v>267</v>
      </c>
      <c r="C1063" s="13" t="s">
        <v>232</v>
      </c>
      <c r="D1063" s="13" t="s">
        <v>241</v>
      </c>
      <c r="E1063" s="13" t="s">
        <v>81</v>
      </c>
      <c r="F1063" s="7">
        <v>46017</v>
      </c>
      <c r="H1063" s="2">
        <v>0.5</v>
      </c>
      <c r="I1063" s="217" t="s">
        <v>81</v>
      </c>
    </row>
    <row r="1064" spans="2:9" ht="21" customHeight="1" x14ac:dyDescent="0.3">
      <c r="B1064" s="13" t="s">
        <v>267</v>
      </c>
      <c r="C1064" s="13" t="s">
        <v>232</v>
      </c>
      <c r="D1064" s="13" t="s">
        <v>241</v>
      </c>
      <c r="E1064" s="13" t="s">
        <v>79</v>
      </c>
      <c r="F1064" s="7">
        <v>46020</v>
      </c>
      <c r="H1064" s="2">
        <v>1</v>
      </c>
      <c r="I1064" s="217" t="s">
        <v>79</v>
      </c>
    </row>
    <row r="1065" spans="2:9" ht="21" customHeight="1" x14ac:dyDescent="0.3">
      <c r="B1065" s="13" t="s">
        <v>337</v>
      </c>
      <c r="C1065" s="13" t="s">
        <v>232</v>
      </c>
      <c r="D1065" s="13" t="s">
        <v>244</v>
      </c>
      <c r="E1065" s="13" t="s">
        <v>79</v>
      </c>
      <c r="F1065" s="7">
        <v>46017</v>
      </c>
      <c r="H1065" s="2">
        <v>1</v>
      </c>
      <c r="I1065" s="217" t="s">
        <v>79</v>
      </c>
    </row>
    <row r="1066" spans="2:9" ht="21" customHeight="1" x14ac:dyDescent="0.3">
      <c r="B1066" s="13" t="s">
        <v>389</v>
      </c>
      <c r="C1066" s="13" t="s">
        <v>232</v>
      </c>
      <c r="D1066" s="13" t="s">
        <v>244</v>
      </c>
      <c r="E1066" s="13" t="s">
        <v>79</v>
      </c>
      <c r="F1066" s="7">
        <v>46021</v>
      </c>
      <c r="H1066" s="2">
        <v>1</v>
      </c>
      <c r="I1066" s="217" t="s">
        <v>79</v>
      </c>
    </row>
    <row r="1067" spans="2:9" ht="21" customHeight="1" x14ac:dyDescent="0.3">
      <c r="B1067" s="13" t="s">
        <v>219</v>
      </c>
      <c r="C1067" s="13" t="s">
        <v>233</v>
      </c>
      <c r="D1067" s="13" t="s">
        <v>241</v>
      </c>
      <c r="E1067" s="13" t="s">
        <v>79</v>
      </c>
      <c r="F1067" s="7">
        <v>46006</v>
      </c>
      <c r="H1067" s="2">
        <v>1</v>
      </c>
      <c r="I1067" s="217" t="s">
        <v>79</v>
      </c>
    </row>
    <row r="1068" spans="2:9" ht="21" customHeight="1" x14ac:dyDescent="0.3">
      <c r="B1068" s="13" t="s">
        <v>219</v>
      </c>
      <c r="C1068" s="13" t="s">
        <v>233</v>
      </c>
      <c r="D1068" s="13" t="s">
        <v>241</v>
      </c>
      <c r="E1068" s="13" t="s">
        <v>79</v>
      </c>
      <c r="F1068" s="7">
        <v>46013</v>
      </c>
      <c r="H1068" s="2">
        <v>1</v>
      </c>
      <c r="I1068" s="217" t="s">
        <v>79</v>
      </c>
    </row>
    <row r="1069" spans="2:9" ht="21" customHeight="1" x14ac:dyDescent="0.3">
      <c r="B1069" s="13" t="s">
        <v>219</v>
      </c>
      <c r="C1069" s="13" t="s">
        <v>233</v>
      </c>
      <c r="D1069" s="13" t="s">
        <v>241</v>
      </c>
      <c r="E1069" s="13" t="s">
        <v>79</v>
      </c>
      <c r="F1069" s="7">
        <v>46017</v>
      </c>
      <c r="H1069" s="2">
        <v>1</v>
      </c>
      <c r="I1069" s="217" t="s">
        <v>79</v>
      </c>
    </row>
    <row r="1070" spans="2:9" ht="21" customHeight="1" x14ac:dyDescent="0.3">
      <c r="B1070" s="13" t="s">
        <v>219</v>
      </c>
      <c r="C1070" s="13" t="s">
        <v>233</v>
      </c>
      <c r="D1070" s="13" t="s">
        <v>241</v>
      </c>
      <c r="E1070" s="13" t="s">
        <v>81</v>
      </c>
      <c r="F1070" s="7">
        <v>46021</v>
      </c>
      <c r="H1070" s="2">
        <v>0.5</v>
      </c>
      <c r="I1070" s="217" t="s">
        <v>81</v>
      </c>
    </row>
    <row r="1071" spans="2:9" ht="21" customHeight="1" x14ac:dyDescent="0.3">
      <c r="B1071" s="13" t="s">
        <v>228</v>
      </c>
      <c r="C1071" s="13" t="s">
        <v>233</v>
      </c>
      <c r="D1071" s="13" t="s">
        <v>246</v>
      </c>
      <c r="E1071" s="13" t="s">
        <v>79</v>
      </c>
      <c r="F1071" s="7">
        <v>46021</v>
      </c>
      <c r="H1071" s="2">
        <v>1</v>
      </c>
      <c r="I1071" s="217" t="s">
        <v>79</v>
      </c>
    </row>
    <row r="1072" spans="2:9" ht="21" customHeight="1" x14ac:dyDescent="0.3">
      <c r="B1072" s="13" t="s">
        <v>228</v>
      </c>
      <c r="C1072" s="13" t="s">
        <v>233</v>
      </c>
      <c r="D1072" s="13" t="s">
        <v>246</v>
      </c>
      <c r="E1072" s="13" t="s">
        <v>79</v>
      </c>
      <c r="F1072" s="7">
        <v>46022</v>
      </c>
      <c r="H1072" s="2">
        <v>1</v>
      </c>
      <c r="I1072" s="217" t="s">
        <v>79</v>
      </c>
    </row>
    <row r="1073" spans="2:9" ht="21" customHeight="1" x14ac:dyDescent="0.3">
      <c r="B1073" s="13" t="s">
        <v>231</v>
      </c>
      <c r="C1073" s="13" t="s">
        <v>235</v>
      </c>
      <c r="D1073" s="13" t="s">
        <v>246</v>
      </c>
      <c r="E1073" s="13" t="s">
        <v>79</v>
      </c>
      <c r="F1073" s="7">
        <v>46006</v>
      </c>
      <c r="H1073" s="2">
        <v>1</v>
      </c>
      <c r="I1073" s="217" t="s">
        <v>79</v>
      </c>
    </row>
    <row r="1074" spans="2:9" ht="21" customHeight="1" x14ac:dyDescent="0.3">
      <c r="B1074" s="13" t="s">
        <v>231</v>
      </c>
      <c r="C1074" s="13" t="s">
        <v>235</v>
      </c>
      <c r="D1074" s="13" t="s">
        <v>246</v>
      </c>
      <c r="E1074" s="13" t="s">
        <v>79</v>
      </c>
      <c r="F1074" s="7">
        <v>46015</v>
      </c>
      <c r="H1074" s="2">
        <v>1</v>
      </c>
      <c r="I1074" s="217" t="s">
        <v>79</v>
      </c>
    </row>
    <row r="1075" spans="2:9" ht="21" customHeight="1" x14ac:dyDescent="0.3">
      <c r="B1075" s="13" t="s">
        <v>222</v>
      </c>
      <c r="C1075" s="13" t="s">
        <v>235</v>
      </c>
      <c r="D1075" s="13" t="s">
        <v>243</v>
      </c>
      <c r="E1075" s="13" t="s">
        <v>79</v>
      </c>
      <c r="F1075" s="7">
        <v>46003</v>
      </c>
      <c r="H1075" s="2">
        <v>1</v>
      </c>
      <c r="I1075" s="217" t="s">
        <v>79</v>
      </c>
    </row>
    <row r="1076" spans="2:9" ht="21" customHeight="1" x14ac:dyDescent="0.3">
      <c r="B1076" s="13" t="s">
        <v>352</v>
      </c>
      <c r="C1076" s="13" t="s">
        <v>233</v>
      </c>
      <c r="D1076" s="13" t="s">
        <v>246</v>
      </c>
      <c r="E1076" s="13" t="s">
        <v>79</v>
      </c>
      <c r="F1076" s="7">
        <v>46001</v>
      </c>
      <c r="H1076" s="2">
        <v>1</v>
      </c>
      <c r="I1076" s="217" t="s">
        <v>79</v>
      </c>
    </row>
    <row r="1077" spans="2:9" ht="21" customHeight="1" x14ac:dyDescent="0.3">
      <c r="B1077" s="13" t="s">
        <v>352</v>
      </c>
      <c r="C1077" s="13" t="s">
        <v>233</v>
      </c>
      <c r="D1077" s="13" t="s">
        <v>246</v>
      </c>
      <c r="E1077" s="13" t="s">
        <v>79</v>
      </c>
      <c r="F1077" s="7">
        <v>46017</v>
      </c>
      <c r="H1077" s="2">
        <v>1</v>
      </c>
      <c r="I1077" s="217" t="s">
        <v>79</v>
      </c>
    </row>
    <row r="1078" spans="2:9" ht="21" customHeight="1" x14ac:dyDescent="0.3">
      <c r="B1078" s="13" t="s">
        <v>352</v>
      </c>
      <c r="C1078" s="13" t="s">
        <v>233</v>
      </c>
      <c r="D1078" s="13" t="s">
        <v>246</v>
      </c>
      <c r="E1078" s="13" t="s">
        <v>81</v>
      </c>
      <c r="F1078" s="7">
        <v>46010</v>
      </c>
      <c r="H1078" s="2">
        <v>0.5</v>
      </c>
      <c r="I1078" s="217" t="s">
        <v>81</v>
      </c>
    </row>
    <row r="1079" spans="2:9" ht="21" customHeight="1" x14ac:dyDescent="0.3">
      <c r="B1079" s="13" t="s">
        <v>353</v>
      </c>
      <c r="C1079" s="13" t="s">
        <v>233</v>
      </c>
      <c r="D1079" s="13" t="s">
        <v>246</v>
      </c>
      <c r="E1079" s="13" t="s">
        <v>79</v>
      </c>
      <c r="F1079" s="7">
        <v>45996</v>
      </c>
      <c r="H1079" s="2">
        <v>1</v>
      </c>
      <c r="I1079" s="217" t="s">
        <v>79</v>
      </c>
    </row>
    <row r="1080" spans="2:9" ht="21" customHeight="1" x14ac:dyDescent="0.3">
      <c r="B1080" s="13" t="s">
        <v>353</v>
      </c>
      <c r="C1080" s="13" t="s">
        <v>233</v>
      </c>
      <c r="D1080" s="13" t="s">
        <v>246</v>
      </c>
      <c r="E1080" s="13" t="s">
        <v>81</v>
      </c>
      <c r="F1080" s="7">
        <v>46008</v>
      </c>
      <c r="H1080" s="2">
        <v>0.5</v>
      </c>
      <c r="I1080" s="217" t="s">
        <v>81</v>
      </c>
    </row>
    <row r="1081" spans="2:9" ht="21" customHeight="1" x14ac:dyDescent="0.3">
      <c r="B1081" s="13" t="s">
        <v>353</v>
      </c>
      <c r="C1081" s="13" t="s">
        <v>233</v>
      </c>
      <c r="D1081" s="13" t="s">
        <v>246</v>
      </c>
      <c r="E1081" s="13" t="s">
        <v>79</v>
      </c>
      <c r="F1081" s="7">
        <v>46017</v>
      </c>
      <c r="H1081" s="2">
        <v>1</v>
      </c>
      <c r="I1081" s="217" t="s">
        <v>79</v>
      </c>
    </row>
    <row r="1082" spans="2:9" ht="21" customHeight="1" x14ac:dyDescent="0.3">
      <c r="B1082" s="13" t="s">
        <v>392</v>
      </c>
      <c r="C1082" s="13" t="s">
        <v>233</v>
      </c>
      <c r="D1082" s="13" t="s">
        <v>246</v>
      </c>
      <c r="E1082" s="13" t="s">
        <v>79</v>
      </c>
      <c r="F1082" s="7">
        <v>46020</v>
      </c>
      <c r="H1082" s="2">
        <v>1</v>
      </c>
      <c r="I1082" s="217" t="s">
        <v>79</v>
      </c>
    </row>
    <row r="1083" spans="2:9" ht="21" customHeight="1" x14ac:dyDescent="0.3">
      <c r="B1083" s="13" t="s">
        <v>267</v>
      </c>
      <c r="C1083" s="13" t="s">
        <v>232</v>
      </c>
      <c r="D1083" s="13" t="s">
        <v>241</v>
      </c>
      <c r="E1083" s="13" t="s">
        <v>79</v>
      </c>
      <c r="F1083" s="7">
        <v>46024</v>
      </c>
      <c r="H1083" s="2">
        <v>1</v>
      </c>
      <c r="I1083" s="217" t="s">
        <v>79</v>
      </c>
    </row>
    <row r="1084" spans="2:9" ht="21" customHeight="1" x14ac:dyDescent="0.3">
      <c r="B1084" s="13" t="s">
        <v>291</v>
      </c>
      <c r="C1084" s="13" t="s">
        <v>232</v>
      </c>
      <c r="D1084" s="13" t="s">
        <v>241</v>
      </c>
      <c r="E1084" s="13" t="s">
        <v>79</v>
      </c>
      <c r="F1084" s="7">
        <v>46024</v>
      </c>
      <c r="H1084" s="2">
        <v>1</v>
      </c>
      <c r="I1084" s="217" t="s">
        <v>79</v>
      </c>
    </row>
    <row r="1085" spans="2:9" ht="21" customHeight="1" x14ac:dyDescent="0.3">
      <c r="B1085" s="13" t="s">
        <v>291</v>
      </c>
      <c r="C1085" s="13" t="s">
        <v>232</v>
      </c>
      <c r="D1085" s="13" t="s">
        <v>241</v>
      </c>
      <c r="E1085" s="13" t="s">
        <v>79</v>
      </c>
      <c r="F1085" s="7">
        <v>46037</v>
      </c>
      <c r="H1085" s="2">
        <v>1</v>
      </c>
      <c r="I1085" s="217" t="s">
        <v>79</v>
      </c>
    </row>
    <row r="1086" spans="2:9" ht="21" customHeight="1" x14ac:dyDescent="0.3">
      <c r="B1086" s="13" t="s">
        <v>291</v>
      </c>
      <c r="C1086" s="13" t="s">
        <v>232</v>
      </c>
      <c r="D1086" s="13" t="s">
        <v>241</v>
      </c>
      <c r="E1086" s="13" t="s">
        <v>81</v>
      </c>
      <c r="F1086" s="7">
        <v>46038</v>
      </c>
      <c r="H1086" s="2">
        <v>0.5</v>
      </c>
      <c r="I1086" s="217" t="s">
        <v>81</v>
      </c>
    </row>
    <row r="1087" spans="2:9" ht="21" customHeight="1" x14ac:dyDescent="0.3">
      <c r="B1087" s="13" t="s">
        <v>337</v>
      </c>
      <c r="C1087" s="13" t="s">
        <v>232</v>
      </c>
      <c r="D1087" s="13" t="s">
        <v>244</v>
      </c>
      <c r="E1087" s="13" t="s">
        <v>79</v>
      </c>
      <c r="F1087" s="7">
        <v>46024</v>
      </c>
      <c r="H1087" s="2">
        <v>1</v>
      </c>
      <c r="I1087" s="217" t="s">
        <v>79</v>
      </c>
    </row>
    <row r="1088" spans="2:9" ht="21" customHeight="1" x14ac:dyDescent="0.3">
      <c r="B1088" s="13" t="s">
        <v>389</v>
      </c>
      <c r="C1088" s="13" t="s">
        <v>232</v>
      </c>
      <c r="D1088" s="13" t="s">
        <v>244</v>
      </c>
      <c r="E1088" s="13" t="s">
        <v>79</v>
      </c>
      <c r="F1088" s="7">
        <v>46027</v>
      </c>
      <c r="H1088" s="2">
        <v>1</v>
      </c>
      <c r="I1088" s="217" t="s">
        <v>79</v>
      </c>
    </row>
    <row r="1089" spans="2:9" ht="21" customHeight="1" x14ac:dyDescent="0.3">
      <c r="B1089" s="13" t="s">
        <v>219</v>
      </c>
      <c r="C1089" s="13" t="s">
        <v>233</v>
      </c>
      <c r="D1089" s="13" t="s">
        <v>241</v>
      </c>
      <c r="E1089" s="13" t="s">
        <v>79</v>
      </c>
      <c r="F1089" s="7">
        <v>46024</v>
      </c>
      <c r="H1089" s="2">
        <v>1</v>
      </c>
      <c r="I1089" s="217" t="s">
        <v>79</v>
      </c>
    </row>
    <row r="1090" spans="2:9" ht="21" customHeight="1" x14ac:dyDescent="0.3">
      <c r="B1090" s="13" t="s">
        <v>228</v>
      </c>
      <c r="C1090" s="13" t="s">
        <v>233</v>
      </c>
      <c r="D1090" s="13" t="s">
        <v>246</v>
      </c>
      <c r="E1090" s="13" t="s">
        <v>79</v>
      </c>
      <c r="F1090" s="7">
        <v>46024</v>
      </c>
      <c r="H1090" s="2">
        <v>1</v>
      </c>
      <c r="I1090" s="217" t="s">
        <v>79</v>
      </c>
    </row>
    <row r="1091" spans="2:9" ht="21" customHeight="1" x14ac:dyDescent="0.3">
      <c r="B1091" s="13" t="s">
        <v>231</v>
      </c>
      <c r="C1091" s="13" t="s">
        <v>235</v>
      </c>
      <c r="D1091" s="13" t="s">
        <v>246</v>
      </c>
      <c r="E1091" s="13" t="s">
        <v>79</v>
      </c>
      <c r="F1091" s="7">
        <v>46024</v>
      </c>
      <c r="H1091" s="2">
        <v>1</v>
      </c>
      <c r="I1091" s="217" t="s">
        <v>79</v>
      </c>
    </row>
    <row r="1092" spans="2:9" ht="21" customHeight="1" x14ac:dyDescent="0.3">
      <c r="B1092" s="13" t="s">
        <v>222</v>
      </c>
      <c r="C1092" s="13" t="s">
        <v>235</v>
      </c>
      <c r="D1092" s="13" t="s">
        <v>243</v>
      </c>
      <c r="E1092" s="13" t="s">
        <v>79</v>
      </c>
      <c r="F1092" s="7">
        <v>46024</v>
      </c>
      <c r="H1092" s="2">
        <v>1</v>
      </c>
      <c r="I1092" s="217" t="s">
        <v>79</v>
      </c>
    </row>
    <row r="1093" spans="2:9" ht="21" customHeight="1" x14ac:dyDescent="0.3">
      <c r="B1093" s="13" t="s">
        <v>222</v>
      </c>
      <c r="C1093" s="13" t="s">
        <v>235</v>
      </c>
      <c r="D1093" s="13" t="s">
        <v>243</v>
      </c>
      <c r="E1093" s="13" t="s">
        <v>79</v>
      </c>
      <c r="F1093" s="7">
        <v>46035</v>
      </c>
      <c r="H1093" s="2">
        <v>1</v>
      </c>
      <c r="I1093" s="217" t="s">
        <v>79</v>
      </c>
    </row>
    <row r="1094" spans="2:9" ht="21" customHeight="1" x14ac:dyDescent="0.3">
      <c r="B1094" s="13" t="s">
        <v>222</v>
      </c>
      <c r="C1094" s="13" t="s">
        <v>235</v>
      </c>
      <c r="D1094" s="13" t="s">
        <v>243</v>
      </c>
      <c r="E1094" s="13" t="s">
        <v>79</v>
      </c>
      <c r="F1094" s="7">
        <v>46038</v>
      </c>
      <c r="H1094" s="2">
        <v>1</v>
      </c>
      <c r="I1094" s="217" t="s">
        <v>79</v>
      </c>
    </row>
    <row r="1095" spans="2:9" ht="21" customHeight="1" x14ac:dyDescent="0.3">
      <c r="B1095" s="13" t="s">
        <v>222</v>
      </c>
      <c r="C1095" s="13" t="s">
        <v>235</v>
      </c>
      <c r="D1095" s="13" t="s">
        <v>243</v>
      </c>
      <c r="E1095" s="13" t="s">
        <v>81</v>
      </c>
      <c r="F1095" s="7">
        <v>46052</v>
      </c>
      <c r="H1095" s="2">
        <v>0.5</v>
      </c>
      <c r="I1095" s="217" t="s">
        <v>81</v>
      </c>
    </row>
    <row r="1096" spans="2:9" ht="21" customHeight="1" x14ac:dyDescent="0.3">
      <c r="B1096" s="13" t="s">
        <v>352</v>
      </c>
      <c r="C1096" s="13" t="s">
        <v>233</v>
      </c>
      <c r="D1096" s="13" t="s">
        <v>246</v>
      </c>
      <c r="E1096" s="13" t="s">
        <v>79</v>
      </c>
      <c r="F1096" s="7">
        <v>46024</v>
      </c>
      <c r="H1096" s="2">
        <v>1</v>
      </c>
      <c r="I1096" s="217" t="s">
        <v>79</v>
      </c>
    </row>
    <row r="1097" spans="2:9" ht="21" customHeight="1" x14ac:dyDescent="0.3">
      <c r="B1097" s="13" t="s">
        <v>353</v>
      </c>
      <c r="C1097" s="13" t="s">
        <v>233</v>
      </c>
      <c r="D1097" s="13" t="s">
        <v>246</v>
      </c>
      <c r="E1097" s="13" t="s">
        <v>79</v>
      </c>
      <c r="F1097" s="7">
        <v>46024</v>
      </c>
      <c r="H1097" s="2">
        <v>1</v>
      </c>
      <c r="I1097" s="217" t="s">
        <v>79</v>
      </c>
    </row>
    <row r="1098" spans="2:9" ht="21" customHeight="1" x14ac:dyDescent="0.3">
      <c r="B1098" s="13" t="s">
        <v>392</v>
      </c>
      <c r="C1098" s="13" t="s">
        <v>233</v>
      </c>
      <c r="D1098" s="13" t="s">
        <v>246</v>
      </c>
      <c r="E1098" s="13" t="s">
        <v>79</v>
      </c>
      <c r="F1098" s="7">
        <v>46024</v>
      </c>
      <c r="H1098" s="2">
        <v>1</v>
      </c>
      <c r="I1098" s="217" t="s">
        <v>79</v>
      </c>
    </row>
    <row r="1099" spans="2:9" ht="21" customHeight="1" x14ac:dyDescent="0.3">
      <c r="B1099" s="13" t="s">
        <v>389</v>
      </c>
      <c r="C1099" s="13" t="s">
        <v>232</v>
      </c>
      <c r="D1099" s="13" t="s">
        <v>244</v>
      </c>
      <c r="E1099" s="13" t="s">
        <v>79</v>
      </c>
      <c r="F1099" s="7">
        <v>46076</v>
      </c>
      <c r="H1099" s="2">
        <v>1</v>
      </c>
      <c r="I1099" s="217" t="s">
        <v>79</v>
      </c>
    </row>
    <row r="1100" spans="2:9" ht="21" customHeight="1" x14ac:dyDescent="0.3">
      <c r="B1100" s="13" t="s">
        <v>222</v>
      </c>
      <c r="C1100" s="13" t="s">
        <v>235</v>
      </c>
      <c r="D1100" s="13" t="s">
        <v>243</v>
      </c>
      <c r="E1100" s="13" t="s">
        <v>79</v>
      </c>
      <c r="F1100" s="7">
        <v>46055</v>
      </c>
      <c r="H1100" s="2">
        <v>1</v>
      </c>
      <c r="I1100" s="217" t="s">
        <v>79</v>
      </c>
    </row>
    <row r="1101" spans="2:9" ht="21" customHeight="1" x14ac:dyDescent="0.3">
      <c r="B1101" s="13" t="s">
        <v>222</v>
      </c>
      <c r="C1101" s="13" t="s">
        <v>235</v>
      </c>
      <c r="D1101" s="13" t="s">
        <v>243</v>
      </c>
      <c r="E1101" s="13" t="s">
        <v>81</v>
      </c>
      <c r="F1101" s="7">
        <v>46079</v>
      </c>
      <c r="H1101" s="2">
        <v>0.5</v>
      </c>
      <c r="I1101" s="217" t="s">
        <v>81</v>
      </c>
    </row>
    <row r="1102" spans="2:9" ht="21" customHeight="1" x14ac:dyDescent="0.3">
      <c r="B1102" s="13" t="s">
        <v>222</v>
      </c>
      <c r="C1102" s="13" t="s">
        <v>235</v>
      </c>
      <c r="D1102" s="13" t="s">
        <v>243</v>
      </c>
      <c r="E1102" s="13" t="s">
        <v>79</v>
      </c>
      <c r="F1102" s="7">
        <v>46080</v>
      </c>
      <c r="H1102" s="2">
        <v>1</v>
      </c>
      <c r="I1102" s="217" t="s">
        <v>79</v>
      </c>
    </row>
    <row r="1103" spans="2:9" ht="21" customHeight="1" x14ac:dyDescent="0.3">
      <c r="B1103" s="13" t="s">
        <v>352</v>
      </c>
      <c r="C1103" s="13" t="s">
        <v>233</v>
      </c>
      <c r="D1103" s="13" t="s">
        <v>246</v>
      </c>
      <c r="E1103" s="13" t="s">
        <v>79</v>
      </c>
      <c r="F1103" s="7">
        <v>46065</v>
      </c>
      <c r="H1103" s="2">
        <v>1</v>
      </c>
      <c r="I1103" s="217" t="s">
        <v>79</v>
      </c>
    </row>
    <row r="1104" spans="2:9" ht="21" customHeight="1" x14ac:dyDescent="0.3">
      <c r="B1104" s="13" t="s">
        <v>353</v>
      </c>
      <c r="C1104" s="13" t="s">
        <v>233</v>
      </c>
      <c r="D1104" s="13" t="s">
        <v>246</v>
      </c>
      <c r="E1104" s="13" t="s">
        <v>79</v>
      </c>
      <c r="F1104" s="7">
        <v>46080</v>
      </c>
      <c r="H1104" s="2">
        <v>1</v>
      </c>
      <c r="I1104" s="217" t="s">
        <v>79</v>
      </c>
    </row>
    <row r="1105" spans="9:9" ht="21" customHeight="1" x14ac:dyDescent="0.3">
      <c r="I1105" s="217"/>
    </row>
    <row r="1106" spans="9:9" ht="21" customHeight="1" x14ac:dyDescent="0.3">
      <c r="I1106" s="217"/>
    </row>
    <row r="1107" spans="9:9" ht="21" customHeight="1" x14ac:dyDescent="0.3">
      <c r="I1107" s="217"/>
    </row>
    <row r="1108" spans="9:9" ht="21" customHeight="1" x14ac:dyDescent="0.3">
      <c r="I1108" s="217"/>
    </row>
    <row r="1109" spans="9:9" ht="21" customHeight="1" x14ac:dyDescent="0.3">
      <c r="I1109" s="217"/>
    </row>
    <row r="1110" spans="9:9" ht="21" customHeight="1" x14ac:dyDescent="0.3">
      <c r="I1110" s="217"/>
    </row>
    <row r="1111" spans="9:9" ht="21" customHeight="1" x14ac:dyDescent="0.3">
      <c r="I1111" s="217"/>
    </row>
    <row r="1112" spans="9:9" ht="21" customHeight="1" x14ac:dyDescent="0.3">
      <c r="I1112" s="217"/>
    </row>
    <row r="1113" spans="9:9" ht="21" customHeight="1" x14ac:dyDescent="0.3">
      <c r="I1113" s="217"/>
    </row>
    <row r="1114" spans="9:9" ht="21" customHeight="1" x14ac:dyDescent="0.3">
      <c r="I1114" s="217"/>
    </row>
    <row r="1115" spans="9:9" ht="21" customHeight="1" x14ac:dyDescent="0.3">
      <c r="I1115" s="217"/>
    </row>
    <row r="1116" spans="9:9" ht="21" customHeight="1" x14ac:dyDescent="0.3">
      <c r="I1116" s="217"/>
    </row>
    <row r="1117" spans="9:9" ht="21" customHeight="1" x14ac:dyDescent="0.3">
      <c r="I1117" s="217"/>
    </row>
    <row r="1118" spans="9:9" ht="21" customHeight="1" x14ac:dyDescent="0.3">
      <c r="I1118" s="217"/>
    </row>
    <row r="1119" spans="9:9" ht="21" customHeight="1" x14ac:dyDescent="0.3">
      <c r="I1119" s="217"/>
    </row>
    <row r="1120" spans="9:9" ht="21" customHeight="1" x14ac:dyDescent="0.3">
      <c r="I1120" s="217"/>
    </row>
    <row r="1121" spans="9:9" ht="21" customHeight="1" x14ac:dyDescent="0.3">
      <c r="I1121" s="217"/>
    </row>
    <row r="1122" spans="9:9" ht="21" customHeight="1" x14ac:dyDescent="0.3">
      <c r="I1122" s="217"/>
    </row>
    <row r="1123" spans="9:9" ht="21" customHeight="1" x14ac:dyDescent="0.3">
      <c r="I1123" s="217"/>
    </row>
    <row r="1124" spans="9:9" ht="21" customHeight="1" x14ac:dyDescent="0.3">
      <c r="I1124" s="217"/>
    </row>
    <row r="1125" spans="9:9" ht="21" customHeight="1" x14ac:dyDescent="0.3">
      <c r="I1125" s="217"/>
    </row>
    <row r="1126" spans="9:9" ht="21" customHeight="1" x14ac:dyDescent="0.3">
      <c r="I1126" s="217"/>
    </row>
    <row r="1127" spans="9:9" ht="21" customHeight="1" x14ac:dyDescent="0.3">
      <c r="I1127" s="217"/>
    </row>
    <row r="1128" spans="9:9" ht="21" customHeight="1" x14ac:dyDescent="0.3">
      <c r="I1128" s="217"/>
    </row>
    <row r="1129" spans="9:9" ht="21" customHeight="1" x14ac:dyDescent="0.3">
      <c r="I1129" s="217"/>
    </row>
    <row r="1130" spans="9:9" ht="21" customHeight="1" x14ac:dyDescent="0.3">
      <c r="I1130" s="217"/>
    </row>
    <row r="1131" spans="9:9" ht="21" customHeight="1" x14ac:dyDescent="0.3">
      <c r="I1131" s="217"/>
    </row>
    <row r="1132" spans="9:9" ht="21" customHeight="1" x14ac:dyDescent="0.3">
      <c r="I1132" s="217"/>
    </row>
    <row r="1133" spans="9:9" ht="21" customHeight="1" x14ac:dyDescent="0.3">
      <c r="I1133" s="217"/>
    </row>
    <row r="1134" spans="9:9" ht="21" customHeight="1" x14ac:dyDescent="0.3">
      <c r="I1134" s="217"/>
    </row>
    <row r="1135" spans="9:9" ht="21" customHeight="1" x14ac:dyDescent="0.3">
      <c r="I1135" s="217"/>
    </row>
    <row r="1136" spans="9:9" ht="21" customHeight="1" x14ac:dyDescent="0.3">
      <c r="I1136" s="217"/>
    </row>
    <row r="1137" spans="9:9" ht="21" customHeight="1" x14ac:dyDescent="0.3">
      <c r="I1137" s="217"/>
    </row>
    <row r="1138" spans="9:9" ht="21" customHeight="1" x14ac:dyDescent="0.3">
      <c r="I1138" s="217"/>
    </row>
    <row r="1139" spans="9:9" ht="21" customHeight="1" x14ac:dyDescent="0.3">
      <c r="I1139" s="217"/>
    </row>
    <row r="1140" spans="9:9" ht="21" customHeight="1" x14ac:dyDescent="0.3">
      <c r="I1140" s="217"/>
    </row>
    <row r="1141" spans="9:9" ht="21" customHeight="1" x14ac:dyDescent="0.3">
      <c r="I1141" s="217"/>
    </row>
    <row r="1142" spans="9:9" ht="21" customHeight="1" x14ac:dyDescent="0.3">
      <c r="I1142" s="217"/>
    </row>
    <row r="1143" spans="9:9" ht="21" customHeight="1" x14ac:dyDescent="0.3">
      <c r="I1143" s="217"/>
    </row>
    <row r="1144" spans="9:9" ht="21" customHeight="1" x14ac:dyDescent="0.3">
      <c r="I1144" s="217"/>
    </row>
    <row r="1145" spans="9:9" ht="21" customHeight="1" x14ac:dyDescent="0.3">
      <c r="I1145" s="217"/>
    </row>
    <row r="1146" spans="9:9" ht="21" customHeight="1" x14ac:dyDescent="0.3">
      <c r="I1146" s="217"/>
    </row>
    <row r="1147" spans="9:9" ht="21" customHeight="1" x14ac:dyDescent="0.3">
      <c r="I1147" s="217"/>
    </row>
    <row r="1148" spans="9:9" ht="21" customHeight="1" x14ac:dyDescent="0.3">
      <c r="I1148" s="217"/>
    </row>
    <row r="1149" spans="9:9" ht="21" customHeight="1" x14ac:dyDescent="0.3">
      <c r="I1149" s="217"/>
    </row>
    <row r="1150" spans="9:9" ht="21" customHeight="1" x14ac:dyDescent="0.3">
      <c r="I1150" s="217"/>
    </row>
    <row r="1151" spans="9:9" ht="21" customHeight="1" x14ac:dyDescent="0.3">
      <c r="I1151" s="217"/>
    </row>
    <row r="1152" spans="9:9" ht="21" customHeight="1" x14ac:dyDescent="0.3">
      <c r="I1152" s="217"/>
    </row>
    <row r="1153" spans="9:9" ht="21" customHeight="1" x14ac:dyDescent="0.3">
      <c r="I1153" s="217"/>
    </row>
    <row r="1154" spans="9:9" ht="21" customHeight="1" x14ac:dyDescent="0.3">
      <c r="I1154" s="217"/>
    </row>
    <row r="1155" spans="9:9" ht="21" customHeight="1" x14ac:dyDescent="0.3">
      <c r="I1155" s="217"/>
    </row>
    <row r="1156" spans="9:9" ht="21" customHeight="1" x14ac:dyDescent="0.3">
      <c r="I1156" s="217"/>
    </row>
    <row r="1157" spans="9:9" ht="21" customHeight="1" x14ac:dyDescent="0.3">
      <c r="I1157" s="217"/>
    </row>
    <row r="1158" spans="9:9" ht="21" customHeight="1" x14ac:dyDescent="0.3">
      <c r="I1158" s="217"/>
    </row>
    <row r="1159" spans="9:9" ht="21" customHeight="1" x14ac:dyDescent="0.3">
      <c r="I1159" s="217"/>
    </row>
    <row r="1160" spans="9:9" ht="21" customHeight="1" x14ac:dyDescent="0.3">
      <c r="I1160" s="217"/>
    </row>
    <row r="1161" spans="9:9" ht="21" customHeight="1" x14ac:dyDescent="0.3">
      <c r="I1161" s="217"/>
    </row>
    <row r="1162" spans="9:9" ht="21" customHeight="1" x14ac:dyDescent="0.3">
      <c r="I1162" s="217"/>
    </row>
    <row r="1163" spans="9:9" ht="21" customHeight="1" x14ac:dyDescent="0.3">
      <c r="I1163" s="217"/>
    </row>
    <row r="1164" spans="9:9" ht="21" customHeight="1" x14ac:dyDescent="0.3">
      <c r="I1164" s="217"/>
    </row>
    <row r="1165" spans="9:9" ht="21" customHeight="1" x14ac:dyDescent="0.3">
      <c r="I1165" s="217"/>
    </row>
    <row r="1166" spans="9:9" ht="21" customHeight="1" x14ac:dyDescent="0.3">
      <c r="I1166" s="217"/>
    </row>
    <row r="1167" spans="9:9" ht="21" customHeight="1" x14ac:dyDescent="0.3">
      <c r="I1167" s="217"/>
    </row>
    <row r="1168" spans="9:9" ht="21" customHeight="1" x14ac:dyDescent="0.3">
      <c r="I1168" s="217"/>
    </row>
    <row r="1169" spans="9:9" ht="21" customHeight="1" x14ac:dyDescent="0.3">
      <c r="I1169" s="217"/>
    </row>
    <row r="1170" spans="9:9" ht="21" customHeight="1" x14ac:dyDescent="0.3">
      <c r="I1170" s="217"/>
    </row>
    <row r="1171" spans="9:9" ht="21" customHeight="1" x14ac:dyDescent="0.3">
      <c r="I1171" s="217"/>
    </row>
    <row r="1172" spans="9:9" ht="21" customHeight="1" x14ac:dyDescent="0.3">
      <c r="I1172" s="217"/>
    </row>
    <row r="1173" spans="9:9" ht="21" customHeight="1" x14ac:dyDescent="0.3">
      <c r="I1173" s="217"/>
    </row>
    <row r="1174" spans="9:9" ht="21" customHeight="1" x14ac:dyDescent="0.3">
      <c r="I1174" s="217"/>
    </row>
    <row r="1175" spans="9:9" ht="21" customHeight="1" x14ac:dyDescent="0.3">
      <c r="I1175" s="217"/>
    </row>
    <row r="1176" spans="9:9" ht="21" customHeight="1" x14ac:dyDescent="0.3">
      <c r="I1176" s="217"/>
    </row>
    <row r="1177" spans="9:9" ht="21" customHeight="1" x14ac:dyDescent="0.3">
      <c r="I1177" s="217"/>
    </row>
    <row r="1178" spans="9:9" ht="21" customHeight="1" x14ac:dyDescent="0.3">
      <c r="I1178" s="217"/>
    </row>
    <row r="1179" spans="9:9" ht="21" customHeight="1" x14ac:dyDescent="0.3">
      <c r="I1179" s="217"/>
    </row>
    <row r="1180" spans="9:9" ht="21" customHeight="1" x14ac:dyDescent="0.3">
      <c r="I1180" s="217"/>
    </row>
    <row r="1181" spans="9:9" ht="21" customHeight="1" x14ac:dyDescent="0.3">
      <c r="I1181" s="217"/>
    </row>
    <row r="1182" spans="9:9" ht="21" customHeight="1" x14ac:dyDescent="0.3">
      <c r="I1182" s="217"/>
    </row>
    <row r="1183" spans="9:9" ht="21" customHeight="1" x14ac:dyDescent="0.3">
      <c r="I1183" s="217"/>
    </row>
    <row r="1184" spans="9:9" ht="21" customHeight="1" x14ac:dyDescent="0.3">
      <c r="I1184" s="217"/>
    </row>
    <row r="1185" spans="9:9" ht="21" customHeight="1" x14ac:dyDescent="0.3">
      <c r="I1185" s="217"/>
    </row>
    <row r="1186" spans="9:9" ht="21" customHeight="1" x14ac:dyDescent="0.3">
      <c r="I1186" s="217"/>
    </row>
    <row r="1187" spans="9:9" ht="21" customHeight="1" x14ac:dyDescent="0.3">
      <c r="I1187" s="217"/>
    </row>
    <row r="1188" spans="9:9" ht="21" customHeight="1" x14ac:dyDescent="0.3">
      <c r="I1188" s="217"/>
    </row>
    <row r="1189" spans="9:9" ht="21" customHeight="1" x14ac:dyDescent="0.3">
      <c r="I1189" s="217"/>
    </row>
    <row r="1190" spans="9:9" ht="21" customHeight="1" x14ac:dyDescent="0.3">
      <c r="I1190" s="217"/>
    </row>
    <row r="1191" spans="9:9" ht="21" customHeight="1" x14ac:dyDescent="0.3">
      <c r="I1191" s="217"/>
    </row>
    <row r="1192" spans="9:9" ht="21" customHeight="1" x14ac:dyDescent="0.3">
      <c r="I1192" s="217"/>
    </row>
    <row r="1193" spans="9:9" ht="21" customHeight="1" x14ac:dyDescent="0.3">
      <c r="I1193" s="217"/>
    </row>
    <row r="1194" spans="9:9" ht="21" customHeight="1" x14ac:dyDescent="0.3">
      <c r="I1194" s="217"/>
    </row>
    <row r="1195" spans="9:9" ht="21" customHeight="1" x14ac:dyDescent="0.3">
      <c r="I1195" s="217"/>
    </row>
    <row r="1196" spans="9:9" ht="21" customHeight="1" x14ac:dyDescent="0.3">
      <c r="I1196" s="217"/>
    </row>
    <row r="1197" spans="9:9" ht="21" customHeight="1" x14ac:dyDescent="0.3">
      <c r="I1197" s="217"/>
    </row>
    <row r="1198" spans="9:9" ht="21" customHeight="1" x14ac:dyDescent="0.3">
      <c r="I1198" s="217"/>
    </row>
    <row r="1199" spans="9:9" ht="21" customHeight="1" x14ac:dyDescent="0.3">
      <c r="I1199" s="217"/>
    </row>
    <row r="1200" spans="9:9" ht="21" customHeight="1" x14ac:dyDescent="0.3">
      <c r="I1200" s="217"/>
    </row>
    <row r="1201" spans="9:9" ht="21" customHeight="1" x14ac:dyDescent="0.3">
      <c r="I1201" s="217"/>
    </row>
    <row r="1202" spans="9:9" ht="21" customHeight="1" x14ac:dyDescent="0.3">
      <c r="I1202" s="217"/>
    </row>
    <row r="1203" spans="9:9" ht="21" customHeight="1" x14ac:dyDescent="0.3">
      <c r="I1203" s="217"/>
    </row>
    <row r="1204" spans="9:9" ht="21" customHeight="1" x14ac:dyDescent="0.3">
      <c r="I1204" s="217"/>
    </row>
    <row r="1205" spans="9:9" ht="21" customHeight="1" x14ac:dyDescent="0.3">
      <c r="I1205" s="217"/>
    </row>
    <row r="1206" spans="9:9" ht="21" customHeight="1" x14ac:dyDescent="0.3">
      <c r="I1206" s="217"/>
    </row>
    <row r="1207" spans="9:9" ht="21" customHeight="1" x14ac:dyDescent="0.3">
      <c r="I1207" s="217"/>
    </row>
    <row r="1208" spans="9:9" ht="21" customHeight="1" x14ac:dyDescent="0.3">
      <c r="I1208" s="217"/>
    </row>
    <row r="1209" spans="9:9" ht="21" customHeight="1" x14ac:dyDescent="0.3">
      <c r="I1209" s="217"/>
    </row>
    <row r="1210" spans="9:9" ht="21" customHeight="1" x14ac:dyDescent="0.3">
      <c r="I1210" s="217"/>
    </row>
    <row r="1211" spans="9:9" ht="21" customHeight="1" x14ac:dyDescent="0.3">
      <c r="I1211" s="217"/>
    </row>
    <row r="1212" spans="9:9" ht="21" customHeight="1" x14ac:dyDescent="0.3">
      <c r="I1212" s="217"/>
    </row>
    <row r="1213" spans="9:9" ht="21" customHeight="1" x14ac:dyDescent="0.3">
      <c r="I1213" s="217"/>
    </row>
    <row r="1214" spans="9:9" ht="21" customHeight="1" x14ac:dyDescent="0.3">
      <c r="I1214" s="217"/>
    </row>
    <row r="1215" spans="9:9" ht="21" customHeight="1" x14ac:dyDescent="0.3">
      <c r="I1215" s="217"/>
    </row>
    <row r="1216" spans="9:9" ht="21" customHeight="1" x14ac:dyDescent="0.3">
      <c r="I1216" s="217"/>
    </row>
    <row r="1217" spans="9:9" ht="21" customHeight="1" x14ac:dyDescent="0.3">
      <c r="I1217" s="217"/>
    </row>
    <row r="1218" spans="9:9" ht="21" customHeight="1" x14ac:dyDescent="0.3">
      <c r="I1218" s="217"/>
    </row>
    <row r="1219" spans="9:9" ht="21" customHeight="1" x14ac:dyDescent="0.3">
      <c r="I1219" s="217"/>
    </row>
    <row r="1220" spans="9:9" ht="21" customHeight="1" x14ac:dyDescent="0.3">
      <c r="I1220" s="217"/>
    </row>
    <row r="1221" spans="9:9" ht="21" customHeight="1" x14ac:dyDescent="0.3">
      <c r="I1221" s="217"/>
    </row>
    <row r="1222" spans="9:9" ht="21" customHeight="1" x14ac:dyDescent="0.3">
      <c r="I1222" s="217"/>
    </row>
    <row r="1223" spans="9:9" ht="21" customHeight="1" x14ac:dyDescent="0.3">
      <c r="I1223" s="217"/>
    </row>
    <row r="1224" spans="9:9" ht="21" customHeight="1" x14ac:dyDescent="0.3">
      <c r="I1224" s="217"/>
    </row>
    <row r="1225" spans="9:9" ht="21" customHeight="1" x14ac:dyDescent="0.3">
      <c r="I1225" s="217"/>
    </row>
    <row r="1226" spans="9:9" ht="21" customHeight="1" x14ac:dyDescent="0.3">
      <c r="I1226" s="217"/>
    </row>
    <row r="1227" spans="9:9" ht="21" customHeight="1" x14ac:dyDescent="0.3">
      <c r="I1227" s="217"/>
    </row>
    <row r="1228" spans="9:9" ht="21" customHeight="1" x14ac:dyDescent="0.3">
      <c r="I1228" s="217"/>
    </row>
    <row r="1229" spans="9:9" ht="21" customHeight="1" x14ac:dyDescent="0.3">
      <c r="I1229" s="217"/>
    </row>
    <row r="1230" spans="9:9" ht="21" customHeight="1" x14ac:dyDescent="0.3">
      <c r="I1230" s="217"/>
    </row>
    <row r="1231" spans="9:9" ht="21" customHeight="1" x14ac:dyDescent="0.3">
      <c r="I1231" s="217"/>
    </row>
    <row r="1232" spans="9:9" ht="21" customHeight="1" x14ac:dyDescent="0.3">
      <c r="I1232" s="217"/>
    </row>
    <row r="1233" spans="9:9" ht="21" customHeight="1" x14ac:dyDescent="0.3">
      <c r="I1233" s="217"/>
    </row>
    <row r="1234" spans="9:9" ht="21" customHeight="1" x14ac:dyDescent="0.3">
      <c r="I1234" s="217"/>
    </row>
    <row r="1235" spans="9:9" ht="21" customHeight="1" x14ac:dyDescent="0.3">
      <c r="I1235" s="217"/>
    </row>
    <row r="1236" spans="9:9" ht="21" customHeight="1" x14ac:dyDescent="0.3">
      <c r="I1236" s="217"/>
    </row>
    <row r="1237" spans="9:9" ht="21" customHeight="1" x14ac:dyDescent="0.3">
      <c r="I1237" s="217"/>
    </row>
    <row r="1238" spans="9:9" ht="21" customHeight="1" x14ac:dyDescent="0.3">
      <c r="I1238" s="217"/>
    </row>
    <row r="1239" spans="9:9" ht="21" customHeight="1" x14ac:dyDescent="0.3">
      <c r="I1239" s="217"/>
    </row>
    <row r="1240" spans="9:9" ht="21" customHeight="1" x14ac:dyDescent="0.3">
      <c r="I1240" s="217"/>
    </row>
    <row r="1241" spans="9:9" ht="21" customHeight="1" x14ac:dyDescent="0.3">
      <c r="I1241" s="217"/>
    </row>
    <row r="1242" spans="9:9" ht="21" customHeight="1" x14ac:dyDescent="0.3">
      <c r="I1242" s="217"/>
    </row>
    <row r="1243" spans="9:9" ht="21" customHeight="1" x14ac:dyDescent="0.3">
      <c r="I1243" s="217"/>
    </row>
    <row r="1244" spans="9:9" ht="21" customHeight="1" x14ac:dyDescent="0.3">
      <c r="I1244" s="217"/>
    </row>
    <row r="1245" spans="9:9" ht="21" customHeight="1" x14ac:dyDescent="0.3">
      <c r="I1245" s="217"/>
    </row>
    <row r="1246" spans="9:9" ht="21" customHeight="1" x14ac:dyDescent="0.3">
      <c r="I1246" s="217"/>
    </row>
    <row r="1247" spans="9:9" ht="21" customHeight="1" x14ac:dyDescent="0.3">
      <c r="I1247" s="217"/>
    </row>
    <row r="1248" spans="9:9" ht="21" customHeight="1" x14ac:dyDescent="0.3">
      <c r="I1248" s="217"/>
    </row>
    <row r="1249" spans="9:9" ht="21" customHeight="1" x14ac:dyDescent="0.3">
      <c r="I1249" s="217"/>
    </row>
    <row r="1250" spans="9:9" ht="21" customHeight="1" x14ac:dyDescent="0.3">
      <c r="I1250" s="217"/>
    </row>
    <row r="1251" spans="9:9" ht="21" customHeight="1" x14ac:dyDescent="0.3">
      <c r="I1251" s="217"/>
    </row>
    <row r="1252" spans="9:9" ht="21" customHeight="1" x14ac:dyDescent="0.3">
      <c r="I1252" s="217"/>
    </row>
    <row r="1253" spans="9:9" ht="21" customHeight="1" x14ac:dyDescent="0.3">
      <c r="I1253" s="217"/>
    </row>
    <row r="1254" spans="9:9" ht="21" customHeight="1" x14ac:dyDescent="0.3">
      <c r="I1254" s="217"/>
    </row>
    <row r="1255" spans="9:9" ht="21" customHeight="1" x14ac:dyDescent="0.3">
      <c r="I1255" s="217"/>
    </row>
    <row r="1256" spans="9:9" ht="21" customHeight="1" x14ac:dyDescent="0.3">
      <c r="I1256" s="217"/>
    </row>
    <row r="1257" spans="9:9" ht="21" customHeight="1" x14ac:dyDescent="0.3">
      <c r="I1257" s="217"/>
    </row>
    <row r="1258" spans="9:9" ht="21" customHeight="1" x14ac:dyDescent="0.3">
      <c r="I1258" s="217"/>
    </row>
    <row r="1259" spans="9:9" ht="21" customHeight="1" x14ac:dyDescent="0.3">
      <c r="I1259" s="217"/>
    </row>
    <row r="1260" spans="9:9" ht="21" customHeight="1" x14ac:dyDescent="0.3">
      <c r="I1260" s="217"/>
    </row>
    <row r="1261" spans="9:9" ht="21" customHeight="1" x14ac:dyDescent="0.3">
      <c r="I1261" s="217"/>
    </row>
    <row r="1262" spans="9:9" ht="21" customHeight="1" x14ac:dyDescent="0.3">
      <c r="I1262" s="217"/>
    </row>
    <row r="1263" spans="9:9" ht="21" customHeight="1" x14ac:dyDescent="0.3">
      <c r="I1263" s="217"/>
    </row>
    <row r="1264" spans="9:9" ht="21" customHeight="1" x14ac:dyDescent="0.3">
      <c r="I1264" s="217"/>
    </row>
    <row r="1265" spans="9:9" ht="21" customHeight="1" x14ac:dyDescent="0.3">
      <c r="I1265" s="217"/>
    </row>
    <row r="1266" spans="9:9" ht="21" customHeight="1" x14ac:dyDescent="0.3">
      <c r="I1266" s="217"/>
    </row>
    <row r="1267" spans="9:9" ht="21" customHeight="1" x14ac:dyDescent="0.3">
      <c r="I1267" s="217"/>
    </row>
    <row r="1268" spans="9:9" ht="21" customHeight="1" x14ac:dyDescent="0.3">
      <c r="I1268" s="217"/>
    </row>
    <row r="1269" spans="9:9" ht="21" customHeight="1" x14ac:dyDescent="0.3">
      <c r="I1269" s="217"/>
    </row>
    <row r="1270" spans="9:9" ht="21" customHeight="1" x14ac:dyDescent="0.3">
      <c r="I1270" s="217"/>
    </row>
    <row r="1271" spans="9:9" ht="21" customHeight="1" x14ac:dyDescent="0.3">
      <c r="I1271" s="217"/>
    </row>
    <row r="1272" spans="9:9" ht="21" customHeight="1" x14ac:dyDescent="0.3">
      <c r="I1272" s="217"/>
    </row>
    <row r="1273" spans="9:9" ht="21" customHeight="1" x14ac:dyDescent="0.3">
      <c r="I1273" s="217"/>
    </row>
    <row r="1274" spans="9:9" ht="21" customHeight="1" x14ac:dyDescent="0.3">
      <c r="I1274" s="217"/>
    </row>
    <row r="1275" spans="9:9" ht="21" customHeight="1" x14ac:dyDescent="0.3">
      <c r="I1275" s="217"/>
    </row>
    <row r="1276" spans="9:9" ht="21" customHeight="1" x14ac:dyDescent="0.3">
      <c r="I1276" s="217"/>
    </row>
    <row r="1277" spans="9:9" ht="21" customHeight="1" x14ac:dyDescent="0.3">
      <c r="I1277" s="217"/>
    </row>
    <row r="1278" spans="9:9" ht="21" customHeight="1" x14ac:dyDescent="0.3">
      <c r="I1278" s="217"/>
    </row>
    <row r="1279" spans="9:9" ht="21" customHeight="1" x14ac:dyDescent="0.3">
      <c r="I1279" s="217"/>
    </row>
    <row r="1280" spans="9:9" ht="21" customHeight="1" x14ac:dyDescent="0.3">
      <c r="I1280" s="217"/>
    </row>
    <row r="1281" spans="9:9" ht="21" customHeight="1" x14ac:dyDescent="0.3">
      <c r="I1281" s="217"/>
    </row>
    <row r="1282" spans="9:9" ht="21" customHeight="1" x14ac:dyDescent="0.3">
      <c r="I1282" s="217"/>
    </row>
    <row r="1283" spans="9:9" ht="21" customHeight="1" x14ac:dyDescent="0.3">
      <c r="I1283" s="217"/>
    </row>
    <row r="1284" spans="9:9" ht="21" customHeight="1" x14ac:dyDescent="0.3">
      <c r="I1284" s="217"/>
    </row>
    <row r="1285" spans="9:9" ht="21" customHeight="1" x14ac:dyDescent="0.3">
      <c r="I1285" s="217"/>
    </row>
    <row r="1286" spans="9:9" ht="21" customHeight="1" x14ac:dyDescent="0.3">
      <c r="I1286" s="217"/>
    </row>
    <row r="1287" spans="9:9" ht="21" customHeight="1" x14ac:dyDescent="0.3">
      <c r="I1287" s="217"/>
    </row>
    <row r="1288" spans="9:9" ht="21" customHeight="1" x14ac:dyDescent="0.3">
      <c r="I1288" s="217"/>
    </row>
    <row r="1289" spans="9:9" ht="21" customHeight="1" x14ac:dyDescent="0.3">
      <c r="I1289" s="217"/>
    </row>
    <row r="1290" spans="9:9" ht="21" customHeight="1" x14ac:dyDescent="0.3">
      <c r="I1290" s="217"/>
    </row>
    <row r="1291" spans="9:9" ht="21" customHeight="1" x14ac:dyDescent="0.3">
      <c r="I1291" s="217"/>
    </row>
    <row r="1292" spans="9:9" ht="21" customHeight="1" x14ac:dyDescent="0.3">
      <c r="I1292" s="217"/>
    </row>
    <row r="1293" spans="9:9" ht="21" customHeight="1" x14ac:dyDescent="0.3">
      <c r="I1293" s="217"/>
    </row>
    <row r="1294" spans="9:9" ht="21" customHeight="1" x14ac:dyDescent="0.3">
      <c r="I1294" s="217"/>
    </row>
    <row r="1295" spans="9:9" ht="21" customHeight="1" x14ac:dyDescent="0.3">
      <c r="I1295" s="217"/>
    </row>
    <row r="1296" spans="9:9" ht="21" customHeight="1" x14ac:dyDescent="0.3">
      <c r="I1296" s="217"/>
    </row>
    <row r="1297" spans="9:9" ht="21" customHeight="1" x14ac:dyDescent="0.3">
      <c r="I1297" s="217"/>
    </row>
    <row r="1298" spans="9:9" ht="21" customHeight="1" x14ac:dyDescent="0.3">
      <c r="I1298" s="217"/>
    </row>
    <row r="1299" spans="9:9" ht="21" customHeight="1" x14ac:dyDescent="0.3">
      <c r="I1299" s="217"/>
    </row>
    <row r="1300" spans="9:9" ht="21" customHeight="1" x14ac:dyDescent="0.3">
      <c r="I1300" s="217"/>
    </row>
    <row r="1301" spans="9:9" ht="21" customHeight="1" x14ac:dyDescent="0.3">
      <c r="I1301" s="217"/>
    </row>
    <row r="1302" spans="9:9" ht="21" customHeight="1" x14ac:dyDescent="0.3">
      <c r="I1302" s="217"/>
    </row>
    <row r="1303" spans="9:9" ht="21" customHeight="1" x14ac:dyDescent="0.3">
      <c r="I1303" s="217"/>
    </row>
    <row r="1304" spans="9:9" ht="21" customHeight="1" x14ac:dyDescent="0.3">
      <c r="I1304" s="217"/>
    </row>
    <row r="1305" spans="9:9" ht="21" customHeight="1" x14ac:dyDescent="0.3">
      <c r="I1305" s="217"/>
    </row>
    <row r="1306" spans="9:9" ht="21" customHeight="1" x14ac:dyDescent="0.3">
      <c r="I1306" s="217"/>
    </row>
    <row r="1307" spans="9:9" ht="21" customHeight="1" x14ac:dyDescent="0.3">
      <c r="I1307" s="217"/>
    </row>
    <row r="1308" spans="9:9" ht="21" customHeight="1" x14ac:dyDescent="0.3">
      <c r="I1308" s="217"/>
    </row>
    <row r="1309" spans="9:9" ht="21" customHeight="1" x14ac:dyDescent="0.3">
      <c r="I1309" s="217"/>
    </row>
    <row r="1310" spans="9:9" ht="21" customHeight="1" x14ac:dyDescent="0.3">
      <c r="I1310" s="217"/>
    </row>
    <row r="1311" spans="9:9" ht="21" customHeight="1" x14ac:dyDescent="0.3">
      <c r="I1311" s="217"/>
    </row>
    <row r="1312" spans="9:9" ht="21" customHeight="1" x14ac:dyDescent="0.3">
      <c r="I1312" s="217"/>
    </row>
    <row r="1313" spans="9:9" ht="21" customHeight="1" x14ac:dyDescent="0.3">
      <c r="I1313" s="217"/>
    </row>
    <row r="1314" spans="9:9" ht="21" customHeight="1" x14ac:dyDescent="0.3">
      <c r="I1314" s="217"/>
    </row>
    <row r="1315" spans="9:9" ht="21" customHeight="1" x14ac:dyDescent="0.3">
      <c r="I1315" s="217"/>
    </row>
    <row r="1316" spans="9:9" ht="21" customHeight="1" x14ac:dyDescent="0.3">
      <c r="I1316" s="217"/>
    </row>
    <row r="1317" spans="9:9" ht="21" customHeight="1" x14ac:dyDescent="0.3">
      <c r="I1317" s="217"/>
    </row>
    <row r="1318" spans="9:9" ht="21" customHeight="1" x14ac:dyDescent="0.3">
      <c r="I1318" s="217"/>
    </row>
    <row r="1319" spans="9:9" ht="21" customHeight="1" x14ac:dyDescent="0.3">
      <c r="I1319" s="217"/>
    </row>
    <row r="1320" spans="9:9" ht="21" customHeight="1" x14ac:dyDescent="0.3">
      <c r="I1320" s="217"/>
    </row>
    <row r="1321" spans="9:9" ht="21" customHeight="1" x14ac:dyDescent="0.3">
      <c r="I1321" s="217"/>
    </row>
    <row r="1322" spans="9:9" ht="21" customHeight="1" x14ac:dyDescent="0.3">
      <c r="I1322" s="217"/>
    </row>
    <row r="1323" spans="9:9" ht="21" customHeight="1" x14ac:dyDescent="0.3">
      <c r="I1323" s="217"/>
    </row>
    <row r="1324" spans="9:9" ht="21" customHeight="1" x14ac:dyDescent="0.3">
      <c r="I1324" s="217"/>
    </row>
    <row r="1325" spans="9:9" ht="21" customHeight="1" x14ac:dyDescent="0.3">
      <c r="I1325" s="217"/>
    </row>
    <row r="1326" spans="9:9" ht="21" customHeight="1" x14ac:dyDescent="0.3">
      <c r="I1326" s="217"/>
    </row>
    <row r="1327" spans="9:9" ht="21" customHeight="1" x14ac:dyDescent="0.3">
      <c r="I1327" s="217"/>
    </row>
    <row r="1328" spans="9:9" ht="21" customHeight="1" x14ac:dyDescent="0.3">
      <c r="I1328" s="217"/>
    </row>
    <row r="1329" spans="9:9" ht="21" customHeight="1" x14ac:dyDescent="0.3">
      <c r="I1329" s="217"/>
    </row>
    <row r="1330" spans="9:9" ht="21" customHeight="1" x14ac:dyDescent="0.3">
      <c r="I1330" s="217"/>
    </row>
    <row r="1331" spans="9:9" ht="21" customHeight="1" x14ac:dyDescent="0.3">
      <c r="I1331" s="217"/>
    </row>
    <row r="1332" spans="9:9" ht="21" customHeight="1" x14ac:dyDescent="0.3">
      <c r="I1332" s="217"/>
    </row>
    <row r="1333" spans="9:9" ht="21" customHeight="1" x14ac:dyDescent="0.3">
      <c r="I1333" s="217"/>
    </row>
    <row r="1334" spans="9:9" ht="21" customHeight="1" x14ac:dyDescent="0.3">
      <c r="I1334" s="217"/>
    </row>
    <row r="1335" spans="9:9" ht="21" customHeight="1" x14ac:dyDescent="0.3">
      <c r="I1335" s="217"/>
    </row>
    <row r="1336" spans="9:9" ht="21" customHeight="1" x14ac:dyDescent="0.3">
      <c r="I1336" s="217"/>
    </row>
    <row r="1337" spans="9:9" ht="21" customHeight="1" x14ac:dyDescent="0.3">
      <c r="I1337" s="217"/>
    </row>
    <row r="1338" spans="9:9" ht="21" customHeight="1" x14ac:dyDescent="0.3">
      <c r="I1338" s="217"/>
    </row>
    <row r="1339" spans="9:9" ht="21" customHeight="1" x14ac:dyDescent="0.3">
      <c r="I1339" s="217"/>
    </row>
    <row r="1340" spans="9:9" ht="21" customHeight="1" x14ac:dyDescent="0.3">
      <c r="I1340" s="217"/>
    </row>
    <row r="1341" spans="9:9" ht="21" customHeight="1" x14ac:dyDescent="0.3">
      <c r="I1341" s="217"/>
    </row>
    <row r="1342" spans="9:9" ht="21" customHeight="1" x14ac:dyDescent="0.3">
      <c r="I1342" s="217"/>
    </row>
    <row r="1343" spans="9:9" ht="21" customHeight="1" x14ac:dyDescent="0.3">
      <c r="I1343" s="217"/>
    </row>
    <row r="1344" spans="9:9" ht="21" customHeight="1" x14ac:dyDescent="0.3">
      <c r="I1344" s="217"/>
    </row>
  </sheetData>
  <sortState xmlns:xlrd2="http://schemas.microsoft.com/office/spreadsheetml/2017/richdata2" ref="B3:J33">
    <sortCondition ref="F2"/>
  </sortState>
  <phoneticPr fontId="2" type="noConversion"/>
  <dataValidations count="1">
    <dataValidation type="list" allowBlank="1" showInputMessage="1" showErrorMessage="1" sqref="I488:I521 I617 I604:I612 I620:I627 I630 I638 I652 I657:I658 I671:I672 I666 I676:I678 E3:E776 E780:E785 E800 E832 E836" xr:uid="{3FC8082F-03DA-4C9F-B39A-B3FB91998CAA}">
      <formula1>항목</formula1>
    </dataValidation>
  </dataValidations>
  <printOptions horizontalCentered="1"/>
  <pageMargins left="0.39370078740157483" right="0.39370078740157483" top="0.39370078740157483" bottom="0.39370078740157483" header="0" footer="0"/>
  <pageSetup paperSize="9" orientation="landscape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EEDC5-9248-42FE-A4FD-221C3F02E704}">
  <sheetPr codeName="Sheet6">
    <pageSetUpPr autoPageBreaks="0" fitToPage="1"/>
  </sheetPr>
  <dimension ref="B1:N4"/>
  <sheetViews>
    <sheetView showGridLines="0" showRowColHeaders="0" showZeros="0" zoomScaleNormal="100" workbookViewId="0">
      <selection activeCell="B3" sqref="B3"/>
    </sheetView>
  </sheetViews>
  <sheetFormatPr defaultColWidth="9" defaultRowHeight="21" customHeight="1" x14ac:dyDescent="0.3"/>
  <cols>
    <col min="1" max="1" width="1.25" style="34" customWidth="1"/>
    <col min="2" max="2" width="8.75" style="51" customWidth="1"/>
    <col min="3" max="3" width="15" style="51" customWidth="1"/>
    <col min="4" max="4" width="10" style="51" customWidth="1"/>
    <col min="5" max="5" width="21.25" style="51" customWidth="1"/>
    <col min="6" max="6" width="10" style="167" customWidth="1"/>
    <col min="7" max="8" width="10" style="51" customWidth="1"/>
    <col min="9" max="9" width="10" style="168" customWidth="1"/>
    <col min="10" max="10" width="10" style="169" customWidth="1"/>
    <col min="11" max="11" width="10" style="51" customWidth="1"/>
    <col min="12" max="12" width="10" style="170" customWidth="1"/>
    <col min="13" max="13" width="10" style="167" customWidth="1"/>
    <col min="14" max="14" width="16.25" style="70" customWidth="1"/>
    <col min="15" max="16384" width="9" style="34"/>
  </cols>
  <sheetData>
    <row r="1" spans="2:14" ht="37.5" customHeight="1" x14ac:dyDescent="0.2">
      <c r="B1" s="33" t="s">
        <v>35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68" t="s">
        <v>374</v>
      </c>
    </row>
    <row r="2" spans="2:14" ht="22.5" customHeight="1" thickBot="1" x14ac:dyDescent="0.35">
      <c r="B2" s="194" t="s">
        <v>31</v>
      </c>
      <c r="C2" s="194" t="s">
        <v>8</v>
      </c>
      <c r="D2" s="194" t="s">
        <v>9</v>
      </c>
      <c r="E2" s="194" t="s">
        <v>36</v>
      </c>
      <c r="F2" s="195" t="s">
        <v>44</v>
      </c>
      <c r="G2" s="194" t="s">
        <v>37</v>
      </c>
      <c r="H2" s="194" t="s">
        <v>38</v>
      </c>
      <c r="I2" s="194" t="s">
        <v>13</v>
      </c>
      <c r="J2" s="195" t="s">
        <v>39</v>
      </c>
      <c r="K2" s="194" t="s">
        <v>40</v>
      </c>
      <c r="L2" s="194" t="s">
        <v>148</v>
      </c>
      <c r="M2" s="196" t="s">
        <v>203</v>
      </c>
      <c r="N2" s="194" t="s">
        <v>19</v>
      </c>
    </row>
    <row r="3" spans="2:14" ht="21" customHeight="1" x14ac:dyDescent="0.3">
      <c r="B3" s="208" t="s">
        <v>348</v>
      </c>
      <c r="C3" s="209" t="s">
        <v>232</v>
      </c>
      <c r="D3" s="209" t="s">
        <v>246</v>
      </c>
      <c r="E3" s="210" t="s">
        <v>375</v>
      </c>
      <c r="F3" s="211">
        <v>31</v>
      </c>
      <c r="G3" s="209">
        <v>0</v>
      </c>
      <c r="H3" s="209">
        <v>0</v>
      </c>
      <c r="I3" s="212">
        <f>F3+G3-H3</f>
        <v>31</v>
      </c>
      <c r="J3" s="213">
        <v>22</v>
      </c>
      <c r="K3" s="209">
        <v>0</v>
      </c>
      <c r="L3" s="214">
        <f>J3+K3</f>
        <v>22</v>
      </c>
      <c r="M3" s="215">
        <f>I3-L3</f>
        <v>9</v>
      </c>
      <c r="N3" s="216">
        <v>0</v>
      </c>
    </row>
    <row r="4" spans="2:14" ht="21" customHeight="1" x14ac:dyDescent="0.3">
      <c r="B4" s="197" t="s">
        <v>77</v>
      </c>
      <c r="C4" s="198" t="s">
        <v>251</v>
      </c>
      <c r="D4" s="198"/>
      <c r="E4" s="200"/>
      <c r="F4" s="201">
        <f t="shared" ref="F4:N4" si="0">SUM(F3)</f>
        <v>31</v>
      </c>
      <c r="G4" s="198">
        <f t="shared" si="0"/>
        <v>0</v>
      </c>
      <c r="H4" s="198">
        <f t="shared" si="0"/>
        <v>0</v>
      </c>
      <c r="I4" s="202">
        <f t="shared" si="0"/>
        <v>31</v>
      </c>
      <c r="J4" s="201">
        <f t="shared" si="0"/>
        <v>22</v>
      </c>
      <c r="K4" s="198">
        <f t="shared" si="0"/>
        <v>0</v>
      </c>
      <c r="L4" s="199">
        <f t="shared" si="0"/>
        <v>22</v>
      </c>
      <c r="M4" s="203">
        <f t="shared" si="0"/>
        <v>9</v>
      </c>
      <c r="N4" s="193">
        <f t="shared" si="0"/>
        <v>0</v>
      </c>
    </row>
  </sheetData>
  <sheetProtection algorithmName="SHA-512" hashValue="1CAsXnihle5No8Ng/bgOiuMv1Lzv0P5HBawtciPrM0c2KFNJRCuqW8k3lBPJUNKfceQysQpt2amPM7I3A+zUWw==" saltValue="ng280SWya7r6YDTEhgEG4Q==" spinCount="100000" sheet="1" objects="1" scenarios="1" formatCells="0" formatColumns="0" formatRows="0" sort="0"/>
  <phoneticPr fontId="2" type="noConversion"/>
  <printOptions horizontalCentered="1"/>
  <pageMargins left="0.39370078740157483" right="0.39370078740157483" top="0.39370078740157483" bottom="0.39370078740157483" header="0" footer="0"/>
  <pageSetup paperSize="9" scale="85" fitToHeight="1000" orientation="landscape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DBF13-DB8F-4D29-B94A-C79F780BBF10}">
  <sheetPr codeName="Sheet7">
    <pageSetUpPr autoPageBreaks="0" fitToPage="1"/>
  </sheetPr>
  <dimension ref="B1:M11"/>
  <sheetViews>
    <sheetView showGridLines="0" showRowColHeaders="0" showZeros="0" zoomScaleNormal="100" workbookViewId="0">
      <selection activeCell="B3" sqref="B3"/>
    </sheetView>
  </sheetViews>
  <sheetFormatPr defaultColWidth="9" defaultRowHeight="21" customHeight="1" x14ac:dyDescent="0.3"/>
  <cols>
    <col min="1" max="1" width="1.25" style="34" customWidth="1"/>
    <col min="2" max="2" width="10.625" style="69" customWidth="1"/>
    <col min="3" max="3" width="21.25" style="69" customWidth="1"/>
    <col min="4" max="11" width="10" style="69" customWidth="1"/>
    <col min="12" max="12" width="21.25" style="69" customWidth="1"/>
    <col min="13" max="13" width="10" style="69" customWidth="1"/>
    <col min="14" max="16384" width="9" style="34"/>
  </cols>
  <sheetData>
    <row r="1" spans="2:13" ht="37.5" customHeight="1" x14ac:dyDescent="0.3">
      <c r="B1" s="33" t="s">
        <v>41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71"/>
    </row>
    <row r="2" spans="2:13" ht="22.5" customHeight="1" x14ac:dyDescent="0.3">
      <c r="B2" s="66" t="s">
        <v>31</v>
      </c>
      <c r="C2" s="67" t="s">
        <v>152</v>
      </c>
      <c r="D2" s="158" t="s">
        <v>44</v>
      </c>
      <c r="E2" s="73" t="s">
        <v>11</v>
      </c>
      <c r="F2" s="73" t="s">
        <v>12</v>
      </c>
      <c r="G2" s="157" t="s">
        <v>150</v>
      </c>
      <c r="H2" s="156" t="s">
        <v>16</v>
      </c>
      <c r="I2" s="73" t="s">
        <v>17</v>
      </c>
      <c r="J2" s="74" t="s">
        <v>149</v>
      </c>
      <c r="K2" s="126" t="s">
        <v>203</v>
      </c>
      <c r="L2" s="229" t="s">
        <v>139</v>
      </c>
      <c r="M2" s="230"/>
    </row>
    <row r="3" spans="2:13" ht="30" customHeight="1" thickBot="1" x14ac:dyDescent="0.35">
      <c r="B3" s="160" t="s">
        <v>349</v>
      </c>
      <c r="C3" s="159" t="s">
        <v>376</v>
      </c>
      <c r="D3" s="161">
        <f t="shared" ref="D3:K3" si="0">D11</f>
        <v>31</v>
      </c>
      <c r="E3" s="162">
        <f t="shared" si="0"/>
        <v>0</v>
      </c>
      <c r="F3" s="162">
        <f t="shared" si="0"/>
        <v>0</v>
      </c>
      <c r="G3" s="163">
        <f t="shared" si="0"/>
        <v>31</v>
      </c>
      <c r="H3" s="164">
        <f t="shared" si="0"/>
        <v>33</v>
      </c>
      <c r="I3" s="162">
        <f t="shared" si="0"/>
        <v>0</v>
      </c>
      <c r="J3" s="165">
        <f t="shared" si="0"/>
        <v>33</v>
      </c>
      <c r="K3" s="166">
        <f t="shared" si="0"/>
        <v>-2</v>
      </c>
      <c r="L3" s="231">
        <v>0</v>
      </c>
      <c r="M3" s="232"/>
    </row>
    <row r="4" spans="2:13" ht="11.25" customHeight="1" x14ac:dyDescent="0.3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</row>
    <row r="5" spans="2:13" ht="22.5" customHeight="1" x14ac:dyDescent="0.3">
      <c r="B5" s="72" t="s">
        <v>382</v>
      </c>
      <c r="C5" s="54"/>
      <c r="D5" s="72"/>
      <c r="E5" s="54"/>
      <c r="F5" s="54"/>
      <c r="G5" s="54"/>
      <c r="H5" s="54"/>
      <c r="I5" s="54"/>
      <c r="J5" s="54"/>
      <c r="K5" s="54"/>
      <c r="L5" s="54"/>
      <c r="M5" s="54"/>
    </row>
    <row r="6" spans="2:13" ht="22.5" customHeight="1" x14ac:dyDescent="0.3">
      <c r="B6" s="226" t="s">
        <v>140</v>
      </c>
      <c r="C6" s="227"/>
      <c r="D6" s="227"/>
      <c r="E6" s="227"/>
      <c r="F6" s="227"/>
      <c r="G6" s="227"/>
      <c r="H6" s="227"/>
      <c r="I6" s="227"/>
      <c r="J6" s="227"/>
      <c r="K6" s="228"/>
      <c r="L6" s="226" t="s">
        <v>141</v>
      </c>
      <c r="M6" s="226"/>
    </row>
    <row r="7" spans="2:13" ht="22.5" customHeight="1" thickBot="1" x14ac:dyDescent="0.35">
      <c r="B7" s="2" t="s">
        <v>142</v>
      </c>
      <c r="C7" s="20" t="s">
        <v>15</v>
      </c>
      <c r="D7" s="2" t="s">
        <v>44</v>
      </c>
      <c r="E7" s="2" t="s">
        <v>11</v>
      </c>
      <c r="F7" s="2" t="s">
        <v>12</v>
      </c>
      <c r="G7" s="20" t="s">
        <v>13</v>
      </c>
      <c r="H7" s="2" t="s">
        <v>16</v>
      </c>
      <c r="I7" s="2" t="s">
        <v>17</v>
      </c>
      <c r="J7" s="2" t="s">
        <v>143</v>
      </c>
      <c r="K7" s="182" t="s">
        <v>203</v>
      </c>
      <c r="L7" s="2" t="s">
        <v>15</v>
      </c>
      <c r="M7" s="2" t="s">
        <v>44</v>
      </c>
    </row>
    <row r="8" spans="2:13" ht="21" customHeight="1" x14ac:dyDescent="0.3">
      <c r="B8" s="190" t="s">
        <v>249</v>
      </c>
      <c r="C8" s="190" t="s">
        <v>377</v>
      </c>
      <c r="D8" s="191">
        <v>4</v>
      </c>
      <c r="E8" s="190">
        <v>0</v>
      </c>
      <c r="F8" s="190">
        <v>0</v>
      </c>
      <c r="G8" s="190">
        <f>D8+E8-F8</f>
        <v>4</v>
      </c>
      <c r="H8" s="191">
        <v>3</v>
      </c>
      <c r="I8" s="190">
        <v>0</v>
      </c>
      <c r="J8" s="190">
        <f>H8+I8</f>
        <v>3</v>
      </c>
      <c r="K8" s="192">
        <f>G8-J8</f>
        <v>1</v>
      </c>
      <c r="L8" s="190" t="s">
        <v>378</v>
      </c>
      <c r="M8" s="190">
        <v>11</v>
      </c>
    </row>
    <row r="9" spans="2:13" ht="21" customHeight="1" x14ac:dyDescent="0.3">
      <c r="B9" s="221" t="s">
        <v>250</v>
      </c>
      <c r="C9" s="221" t="s">
        <v>379</v>
      </c>
      <c r="D9" s="222">
        <v>12</v>
      </c>
      <c r="E9" s="221">
        <v>0</v>
      </c>
      <c r="F9" s="221">
        <v>0</v>
      </c>
      <c r="G9" s="221">
        <f>D9+E9-F9</f>
        <v>12</v>
      </c>
      <c r="H9" s="222">
        <v>15</v>
      </c>
      <c r="I9" s="221">
        <v>0</v>
      </c>
      <c r="J9" s="221">
        <f>H9+I9</f>
        <v>15</v>
      </c>
      <c r="K9" s="223">
        <f>G9-J9</f>
        <v>-3</v>
      </c>
      <c r="L9" s="221" t="s">
        <v>380</v>
      </c>
      <c r="M9" s="221">
        <v>15</v>
      </c>
    </row>
    <row r="10" spans="2:13" ht="21" customHeight="1" x14ac:dyDescent="0.3">
      <c r="B10" s="184" t="s">
        <v>381</v>
      </c>
      <c r="C10" s="184" t="s">
        <v>383</v>
      </c>
      <c r="D10" s="185">
        <v>15</v>
      </c>
      <c r="E10" s="184">
        <v>0</v>
      </c>
      <c r="F10" s="184">
        <v>0</v>
      </c>
      <c r="G10" s="184">
        <f>D10+E10-F10</f>
        <v>15</v>
      </c>
      <c r="H10" s="185">
        <v>15</v>
      </c>
      <c r="I10" s="184">
        <v>0</v>
      </c>
      <c r="J10" s="184">
        <f>H10+I10</f>
        <v>15</v>
      </c>
      <c r="K10" s="186">
        <f>G10-J10</f>
        <v>0</v>
      </c>
      <c r="L10" s="184" t="s">
        <v>384</v>
      </c>
      <c r="M10" s="184">
        <v>15</v>
      </c>
    </row>
    <row r="11" spans="2:13" ht="21" customHeight="1" x14ac:dyDescent="0.3">
      <c r="B11" s="187" t="s">
        <v>77</v>
      </c>
      <c r="C11" s="187"/>
      <c r="D11" s="188">
        <f t="shared" ref="D11:K11" si="1">SUM(D8:D10)</f>
        <v>31</v>
      </c>
      <c r="E11" s="187">
        <f t="shared" si="1"/>
        <v>0</v>
      </c>
      <c r="F11" s="187">
        <f t="shared" si="1"/>
        <v>0</v>
      </c>
      <c r="G11" s="187">
        <f t="shared" si="1"/>
        <v>31</v>
      </c>
      <c r="H11" s="188">
        <f t="shared" si="1"/>
        <v>33</v>
      </c>
      <c r="I11" s="187">
        <f t="shared" si="1"/>
        <v>0</v>
      </c>
      <c r="J11" s="187">
        <f t="shared" si="1"/>
        <v>33</v>
      </c>
      <c r="K11" s="189">
        <f t="shared" si="1"/>
        <v>-2</v>
      </c>
      <c r="L11" s="187"/>
      <c r="M11" s="187">
        <f>SUM(M8:M10)</f>
        <v>41</v>
      </c>
    </row>
  </sheetData>
  <sheetProtection algorithmName="SHA-512" hashValue="ufwdCDuoRfoJ70GxnAUpIgNv4t1r+75r8o7Nbc13ZGRdt/hah4CkkcH3tZGxxDa6fjo9HhToItlcH7VGd2JzyA==" saltValue="9k+kOfhbRo7d8dV4b8dulA==" spinCount="100000" sheet="1" objects="1" scenarios="1" formatCells="0" formatColumns="0" formatRows="0" sort="0"/>
  <mergeCells count="4">
    <mergeCell ref="B6:K6"/>
    <mergeCell ref="L6:M6"/>
    <mergeCell ref="L2:M2"/>
    <mergeCell ref="L3:M3"/>
  </mergeCells>
  <phoneticPr fontId="2" type="noConversion"/>
  <printOptions horizontalCentered="1"/>
  <pageMargins left="0.39370078740157483" right="0.39370078740157483" top="0.39370078740157483" bottom="0.39370078740157483" header="0" footer="0"/>
  <pageSetup paperSize="9" scale="89" fitToHeight="1000" orientation="landscape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6C36-6749-438B-B30E-B217C09C9238}">
  <sheetPr codeName="Sheet8">
    <pageSetUpPr autoPageBreaks="0"/>
  </sheetPr>
  <dimension ref="A1:AQ30"/>
  <sheetViews>
    <sheetView showGridLines="0" showRowColHeaders="0" showZeros="0" zoomScaleNormal="100" workbookViewId="0">
      <selection activeCell="AI30" sqref="A1:AI30"/>
    </sheetView>
  </sheetViews>
  <sheetFormatPr defaultColWidth="9" defaultRowHeight="21" customHeight="1" x14ac:dyDescent="0.3"/>
  <cols>
    <col min="1" max="1" width="1.25" style="90" customWidth="1"/>
    <col min="2" max="2" width="10.625" style="90" customWidth="1"/>
    <col min="3" max="33" width="4.375" style="90" customWidth="1"/>
    <col min="34" max="34" width="6.25" style="90" customWidth="1"/>
    <col min="35" max="35" width="1.25" style="90" customWidth="1"/>
    <col min="36" max="37" width="6.25" style="90" customWidth="1"/>
    <col min="38" max="16384" width="9" style="90"/>
  </cols>
  <sheetData>
    <row r="1" spans="1:43" ht="37.5" customHeight="1" thickBot="1" x14ac:dyDescent="0.25">
      <c r="A1" s="87"/>
      <c r="B1" s="88" t="s">
        <v>157</v>
      </c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9" t="s">
        <v>363</v>
      </c>
      <c r="AI1" s="87"/>
    </row>
    <row r="2" spans="1:43" ht="7.5" customHeight="1" x14ac:dyDescent="0.3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</row>
    <row r="3" spans="1:43" ht="24" customHeight="1" x14ac:dyDescent="0.3">
      <c r="A3" s="91"/>
      <c r="B3" s="110" t="s">
        <v>158</v>
      </c>
      <c r="C3" s="263" t="s">
        <v>31</v>
      </c>
      <c r="D3" s="264"/>
      <c r="E3" s="247" t="s">
        <v>42</v>
      </c>
      <c r="F3" s="248"/>
      <c r="G3" s="248"/>
      <c r="H3" s="264"/>
      <c r="I3" s="247" t="s">
        <v>43</v>
      </c>
      <c r="J3" s="248"/>
      <c r="K3" s="249"/>
      <c r="L3" s="262" t="s">
        <v>44</v>
      </c>
      <c r="M3" s="261"/>
      <c r="N3" s="261" t="s">
        <v>37</v>
      </c>
      <c r="O3" s="261"/>
      <c r="P3" s="261" t="s">
        <v>38</v>
      </c>
      <c r="Q3" s="261"/>
      <c r="R3" s="272" t="s">
        <v>150</v>
      </c>
      <c r="S3" s="273"/>
      <c r="T3" s="279" t="s">
        <v>16</v>
      </c>
      <c r="U3" s="253"/>
      <c r="V3" s="253"/>
      <c r="W3" s="253" t="s">
        <v>17</v>
      </c>
      <c r="X3" s="253"/>
      <c r="Y3" s="253"/>
      <c r="Z3" s="268" t="s">
        <v>149</v>
      </c>
      <c r="AA3" s="268"/>
      <c r="AB3" s="268"/>
      <c r="AC3" s="253" t="s">
        <v>203</v>
      </c>
      <c r="AD3" s="253"/>
      <c r="AE3" s="254"/>
      <c r="AF3" s="259" t="s">
        <v>106</v>
      </c>
      <c r="AG3" s="259"/>
      <c r="AH3" s="260"/>
      <c r="AI3" s="91"/>
      <c r="AJ3" s="69"/>
      <c r="AK3" s="69"/>
      <c r="AL3" s="92"/>
      <c r="AM3" s="92"/>
      <c r="AN3" s="92"/>
      <c r="AO3" s="92"/>
      <c r="AP3" s="69"/>
      <c r="AQ3" s="69"/>
    </row>
    <row r="4" spans="1:43" ht="24" customHeight="1" x14ac:dyDescent="0.3">
      <c r="A4" s="91"/>
      <c r="B4" s="93">
        <v>2024</v>
      </c>
      <c r="C4" s="265" t="s">
        <v>219</v>
      </c>
      <c r="D4" s="266"/>
      <c r="E4" s="250" t="s">
        <v>233</v>
      </c>
      <c r="F4" s="251"/>
      <c r="G4" s="251"/>
      <c r="H4" s="267"/>
      <c r="I4" s="250" t="s">
        <v>241</v>
      </c>
      <c r="J4" s="251"/>
      <c r="K4" s="252"/>
      <c r="L4" s="270">
        <v>15</v>
      </c>
      <c r="M4" s="271"/>
      <c r="N4" s="278">
        <v>0</v>
      </c>
      <c r="O4" s="278"/>
      <c r="P4" s="278">
        <v>0</v>
      </c>
      <c r="Q4" s="278"/>
      <c r="R4" s="274">
        <f>$L$4+$N$4-$P$4</f>
        <v>15</v>
      </c>
      <c r="S4" s="275"/>
      <c r="T4" s="276">
        <v>11</v>
      </c>
      <c r="U4" s="277"/>
      <c r="V4" s="277"/>
      <c r="W4" s="277">
        <v>0</v>
      </c>
      <c r="X4" s="277"/>
      <c r="Y4" s="277"/>
      <c r="Z4" s="269">
        <f>$T$4+$W$4</f>
        <v>11</v>
      </c>
      <c r="AA4" s="269"/>
      <c r="AB4" s="269"/>
      <c r="AC4" s="257">
        <f>$R$4-$Z$4</f>
        <v>4</v>
      </c>
      <c r="AD4" s="257"/>
      <c r="AE4" s="258"/>
      <c r="AF4" s="255">
        <v>0</v>
      </c>
      <c r="AG4" s="255"/>
      <c r="AH4" s="256"/>
      <c r="AI4" s="91"/>
      <c r="AJ4" s="92"/>
      <c r="AK4" s="92"/>
      <c r="AL4" s="55"/>
      <c r="AM4" s="55"/>
      <c r="AN4" s="55"/>
      <c r="AO4" s="55"/>
    </row>
    <row r="5" spans="1:43" ht="7.5" customHeight="1" x14ac:dyDescent="0.3">
      <c r="A5" s="91"/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</row>
    <row r="6" spans="1:43" ht="24" customHeight="1" x14ac:dyDescent="0.3">
      <c r="A6" s="91"/>
      <c r="B6" s="128" t="s">
        <v>185</v>
      </c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134">
        <f>Z4</f>
        <v>11</v>
      </c>
      <c r="Y6" s="134" t="s">
        <v>161</v>
      </c>
      <c r="Z6" s="239" t="s">
        <v>19</v>
      </c>
      <c r="AA6" s="240"/>
      <c r="AB6" s="240"/>
      <c r="AC6" s="240"/>
      <c r="AD6" s="240"/>
      <c r="AE6" s="243">
        <v>0</v>
      </c>
      <c r="AF6" s="243"/>
      <c r="AG6" s="243"/>
      <c r="AH6" s="244"/>
      <c r="AI6" s="91"/>
    </row>
    <row r="7" spans="1:43" ht="21" customHeight="1" x14ac:dyDescent="0.3">
      <c r="A7" s="91"/>
      <c r="B7" s="95"/>
      <c r="X7" s="129">
        <f>IFERROR(Z4/R4*100,0)</f>
        <v>73.333333333333329</v>
      </c>
      <c r="Y7" s="129" t="s">
        <v>162</v>
      </c>
      <c r="Z7" s="241"/>
      <c r="AA7" s="242"/>
      <c r="AB7" s="242"/>
      <c r="AC7" s="242"/>
      <c r="AD7" s="242"/>
      <c r="AE7" s="245"/>
      <c r="AF7" s="245"/>
      <c r="AG7" s="245"/>
      <c r="AH7" s="246"/>
      <c r="AI7" s="91"/>
    </row>
    <row r="8" spans="1:43" ht="26.25" customHeight="1" x14ac:dyDescent="0.3">
      <c r="A8" s="91"/>
      <c r="B8" s="131" t="s">
        <v>183</v>
      </c>
      <c r="Z8" s="130" t="s">
        <v>176</v>
      </c>
      <c r="AH8" s="96"/>
      <c r="AI8" s="91"/>
    </row>
    <row r="9" spans="1:43" ht="21" customHeight="1" x14ac:dyDescent="0.3">
      <c r="A9" s="91"/>
      <c r="B9" s="95"/>
      <c r="Z9" s="233" t="s">
        <v>175</v>
      </c>
      <c r="AA9" s="234"/>
      <c r="AH9" s="96"/>
      <c r="AI9" s="91"/>
    </row>
    <row r="10" spans="1:43" ht="21" customHeight="1" x14ac:dyDescent="0.3">
      <c r="A10" s="91"/>
      <c r="B10" s="95"/>
      <c r="Z10" s="233" t="s">
        <v>177</v>
      </c>
      <c r="AA10" s="234"/>
      <c r="AH10" s="96"/>
      <c r="AI10" s="91"/>
    </row>
    <row r="11" spans="1:43" ht="21" customHeight="1" x14ac:dyDescent="0.3">
      <c r="A11" s="91"/>
      <c r="B11" s="95"/>
      <c r="Z11" s="233" t="s">
        <v>178</v>
      </c>
      <c r="AA11" s="234"/>
      <c r="AH11" s="96"/>
      <c r="AI11" s="91"/>
    </row>
    <row r="12" spans="1:43" ht="21" customHeight="1" x14ac:dyDescent="0.3">
      <c r="A12" s="91"/>
      <c r="B12" s="95"/>
      <c r="Z12" s="233" t="s">
        <v>179</v>
      </c>
      <c r="AA12" s="234"/>
      <c r="AH12" s="96"/>
      <c r="AI12" s="91"/>
    </row>
    <row r="13" spans="1:43" ht="21" customHeight="1" x14ac:dyDescent="0.3">
      <c r="A13" s="91"/>
      <c r="B13" s="95"/>
      <c r="Z13" s="233" t="s">
        <v>180</v>
      </c>
      <c r="AA13" s="234"/>
      <c r="AH13" s="96"/>
      <c r="AI13" s="91"/>
    </row>
    <row r="14" spans="1:43" ht="21" customHeight="1" x14ac:dyDescent="0.3">
      <c r="A14" s="91"/>
      <c r="B14" s="95"/>
      <c r="Z14" s="235" t="s">
        <v>181</v>
      </c>
      <c r="AA14" s="236"/>
      <c r="AH14" s="96"/>
      <c r="AI14" s="91"/>
    </row>
    <row r="15" spans="1:43" ht="21" customHeight="1" x14ac:dyDescent="0.3">
      <c r="A15" s="91"/>
      <c r="B15" s="97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237" t="s">
        <v>182</v>
      </c>
      <c r="AA15" s="238"/>
      <c r="AB15" s="98"/>
      <c r="AC15" s="98"/>
      <c r="AD15" s="98"/>
      <c r="AE15" s="98"/>
      <c r="AF15" s="98"/>
      <c r="AG15" s="98"/>
      <c r="AH15" s="99"/>
      <c r="AI15" s="91"/>
    </row>
    <row r="16" spans="1:43" ht="7.5" customHeight="1" x14ac:dyDescent="0.3">
      <c r="A16" s="91"/>
      <c r="B16" s="91"/>
      <c r="C16" s="91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</row>
    <row r="17" spans="1:35" ht="22.5" customHeight="1" thickBot="1" x14ac:dyDescent="0.35">
      <c r="A17" s="91"/>
      <c r="B17" s="100" t="s">
        <v>45</v>
      </c>
      <c r="C17" s="111" t="s">
        <v>46</v>
      </c>
      <c r="D17" s="86" t="s">
        <v>47</v>
      </c>
      <c r="E17" s="86" t="s">
        <v>48</v>
      </c>
      <c r="F17" s="86" t="s">
        <v>49</v>
      </c>
      <c r="G17" s="86" t="s">
        <v>50</v>
      </c>
      <c r="H17" s="86" t="s">
        <v>51</v>
      </c>
      <c r="I17" s="86" t="s">
        <v>52</v>
      </c>
      <c r="J17" s="86" t="s">
        <v>53</v>
      </c>
      <c r="K17" s="86" t="s">
        <v>54</v>
      </c>
      <c r="L17" s="86" t="s">
        <v>55</v>
      </c>
      <c r="M17" s="86" t="s">
        <v>56</v>
      </c>
      <c r="N17" s="86" t="s">
        <v>57</v>
      </c>
      <c r="O17" s="86" t="s">
        <v>58</v>
      </c>
      <c r="P17" s="86" t="s">
        <v>59</v>
      </c>
      <c r="Q17" s="86" t="s">
        <v>60</v>
      </c>
      <c r="R17" s="86" t="s">
        <v>61</v>
      </c>
      <c r="S17" s="86" t="s">
        <v>62</v>
      </c>
      <c r="T17" s="86" t="s">
        <v>63</v>
      </c>
      <c r="U17" s="86" t="s">
        <v>64</v>
      </c>
      <c r="V17" s="86" t="s">
        <v>65</v>
      </c>
      <c r="W17" s="86" t="s">
        <v>66</v>
      </c>
      <c r="X17" s="86" t="s">
        <v>67</v>
      </c>
      <c r="Y17" s="86" t="s">
        <v>68</v>
      </c>
      <c r="Z17" s="86" t="s">
        <v>69</v>
      </c>
      <c r="AA17" s="86" t="s">
        <v>70</v>
      </c>
      <c r="AB17" s="86" t="s">
        <v>71</v>
      </c>
      <c r="AC17" s="86" t="s">
        <v>72</v>
      </c>
      <c r="AD17" s="86" t="s">
        <v>73</v>
      </c>
      <c r="AE17" s="86" t="s">
        <v>74</v>
      </c>
      <c r="AF17" s="86" t="s">
        <v>75</v>
      </c>
      <c r="AG17" s="112" t="s">
        <v>76</v>
      </c>
      <c r="AH17" s="113" t="s">
        <v>77</v>
      </c>
      <c r="AI17" s="91"/>
    </row>
    <row r="18" spans="1:35" ht="21" customHeight="1" x14ac:dyDescent="0.3">
      <c r="A18" s="91"/>
      <c r="B18" s="114">
        <f>setting!CA5</f>
        <v>1</v>
      </c>
      <c r="C18" s="101">
        <v>0</v>
      </c>
      <c r="D18" s="102">
        <v>0</v>
      </c>
      <c r="E18" s="102">
        <v>0</v>
      </c>
      <c r="F18" s="102">
        <v>0</v>
      </c>
      <c r="G18" s="102">
        <v>0</v>
      </c>
      <c r="H18" s="102">
        <v>0</v>
      </c>
      <c r="I18" s="102">
        <v>0</v>
      </c>
      <c r="J18" s="102">
        <v>0</v>
      </c>
      <c r="K18" s="102">
        <v>0</v>
      </c>
      <c r="L18" s="102">
        <v>0</v>
      </c>
      <c r="M18" s="102">
        <v>0</v>
      </c>
      <c r="N18" s="102">
        <v>0</v>
      </c>
      <c r="O18" s="102">
        <v>0</v>
      </c>
      <c r="P18" s="102">
        <v>0</v>
      </c>
      <c r="Q18" s="102">
        <v>0</v>
      </c>
      <c r="R18" s="102">
        <v>0</v>
      </c>
      <c r="S18" s="102">
        <v>0</v>
      </c>
      <c r="T18" s="102">
        <v>0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>
        <v>0</v>
      </c>
      <c r="AD18" s="102">
        <v>0</v>
      </c>
      <c r="AE18" s="102">
        <v>0</v>
      </c>
      <c r="AF18" s="102">
        <v>0</v>
      </c>
      <c r="AG18" s="103">
        <v>0</v>
      </c>
      <c r="AH18" s="117">
        <f>SUM(C18:AG18)</f>
        <v>1</v>
      </c>
      <c r="AI18" s="91"/>
    </row>
    <row r="19" spans="1:35" ht="21" customHeight="1" x14ac:dyDescent="0.3">
      <c r="A19" s="91"/>
      <c r="B19" s="115">
        <f>setting!CA6</f>
        <v>2</v>
      </c>
      <c r="C19" s="104">
        <v>0</v>
      </c>
      <c r="D19" s="105">
        <v>0</v>
      </c>
      <c r="E19" s="105">
        <v>0</v>
      </c>
      <c r="F19" s="105">
        <v>0</v>
      </c>
      <c r="G19" s="105">
        <v>0</v>
      </c>
      <c r="H19" s="105">
        <v>0</v>
      </c>
      <c r="I19" s="105">
        <v>0</v>
      </c>
      <c r="J19" s="105">
        <v>0</v>
      </c>
      <c r="K19" s="105">
        <v>0</v>
      </c>
      <c r="L19" s="105">
        <v>0</v>
      </c>
      <c r="M19" s="105">
        <v>0</v>
      </c>
      <c r="N19" s="105">
        <v>0</v>
      </c>
      <c r="O19" s="105">
        <v>0</v>
      </c>
      <c r="P19" s="105">
        <v>0</v>
      </c>
      <c r="Q19" s="105">
        <v>0</v>
      </c>
      <c r="R19" s="105">
        <v>0</v>
      </c>
      <c r="S19" s="105">
        <v>0</v>
      </c>
      <c r="T19" s="105">
        <v>0</v>
      </c>
      <c r="U19" s="105">
        <v>1</v>
      </c>
      <c r="V19" s="105">
        <v>0</v>
      </c>
      <c r="W19" s="105">
        <v>0</v>
      </c>
      <c r="X19" s="105">
        <v>0</v>
      </c>
      <c r="Y19" s="105">
        <v>0</v>
      </c>
      <c r="Z19" s="105">
        <v>0</v>
      </c>
      <c r="AA19" s="105">
        <v>0</v>
      </c>
      <c r="AB19" s="105">
        <v>0</v>
      </c>
      <c r="AC19" s="105">
        <v>0</v>
      </c>
      <c r="AD19" s="105">
        <v>0</v>
      </c>
      <c r="AE19" s="105">
        <v>0</v>
      </c>
      <c r="AF19" s="105"/>
      <c r="AG19" s="106"/>
      <c r="AH19" s="118">
        <f t="shared" ref="AH19:AH29" si="0">SUM(C19:AG19)</f>
        <v>1</v>
      </c>
      <c r="AI19" s="91"/>
    </row>
    <row r="20" spans="1:35" ht="21" customHeight="1" x14ac:dyDescent="0.3">
      <c r="A20" s="91"/>
      <c r="B20" s="115">
        <f>setting!CA7</f>
        <v>3</v>
      </c>
      <c r="C20" s="104">
        <v>0</v>
      </c>
      <c r="D20" s="105">
        <v>0</v>
      </c>
      <c r="E20" s="105">
        <v>0</v>
      </c>
      <c r="F20" s="105">
        <v>0</v>
      </c>
      <c r="G20" s="105">
        <v>0</v>
      </c>
      <c r="H20" s="105">
        <v>0</v>
      </c>
      <c r="I20" s="105">
        <v>0</v>
      </c>
      <c r="J20" s="105">
        <v>0</v>
      </c>
      <c r="K20" s="105">
        <v>0</v>
      </c>
      <c r="L20" s="105">
        <v>0</v>
      </c>
      <c r="M20" s="105">
        <v>0</v>
      </c>
      <c r="N20" s="105">
        <v>0.5</v>
      </c>
      <c r="O20" s="105">
        <v>0</v>
      </c>
      <c r="P20" s="105">
        <v>0</v>
      </c>
      <c r="Q20" s="105">
        <v>0</v>
      </c>
      <c r="R20" s="105">
        <v>0</v>
      </c>
      <c r="S20" s="105">
        <v>0</v>
      </c>
      <c r="T20" s="105">
        <v>0</v>
      </c>
      <c r="U20" s="105">
        <v>0</v>
      </c>
      <c r="V20" s="105">
        <v>0</v>
      </c>
      <c r="W20" s="105">
        <v>0</v>
      </c>
      <c r="X20" s="105">
        <v>0.5</v>
      </c>
      <c r="Y20" s="105">
        <v>0</v>
      </c>
      <c r="Z20" s="105">
        <v>0</v>
      </c>
      <c r="AA20" s="105">
        <v>0</v>
      </c>
      <c r="AB20" s="105">
        <v>0</v>
      </c>
      <c r="AC20" s="105">
        <v>0</v>
      </c>
      <c r="AD20" s="105">
        <v>0</v>
      </c>
      <c r="AE20" s="105">
        <v>0</v>
      </c>
      <c r="AF20" s="105">
        <v>0</v>
      </c>
      <c r="AG20" s="106">
        <v>0</v>
      </c>
      <c r="AH20" s="118">
        <f t="shared" si="0"/>
        <v>1</v>
      </c>
      <c r="AI20" s="91"/>
    </row>
    <row r="21" spans="1:35" ht="21" customHeight="1" x14ac:dyDescent="0.3">
      <c r="A21" s="91"/>
      <c r="B21" s="115">
        <f>setting!CA8</f>
        <v>4</v>
      </c>
      <c r="C21" s="104">
        <v>0</v>
      </c>
      <c r="D21" s="105">
        <v>0</v>
      </c>
      <c r="E21" s="105">
        <v>0</v>
      </c>
      <c r="F21" s="105">
        <v>0</v>
      </c>
      <c r="G21" s="105">
        <v>0</v>
      </c>
      <c r="H21" s="105">
        <v>0</v>
      </c>
      <c r="I21" s="105">
        <v>0</v>
      </c>
      <c r="J21" s="105">
        <v>0</v>
      </c>
      <c r="K21" s="105">
        <v>0</v>
      </c>
      <c r="L21" s="105">
        <v>0</v>
      </c>
      <c r="M21" s="105">
        <v>0</v>
      </c>
      <c r="N21" s="105">
        <v>0</v>
      </c>
      <c r="O21" s="105">
        <v>0</v>
      </c>
      <c r="P21" s="105">
        <v>0</v>
      </c>
      <c r="Q21" s="105">
        <v>0</v>
      </c>
      <c r="R21" s="105">
        <v>0</v>
      </c>
      <c r="S21" s="105">
        <v>0</v>
      </c>
      <c r="T21" s="105">
        <v>0</v>
      </c>
      <c r="U21" s="105">
        <v>0</v>
      </c>
      <c r="V21" s="105">
        <v>0</v>
      </c>
      <c r="W21" s="105">
        <v>0</v>
      </c>
      <c r="X21" s="105">
        <v>0</v>
      </c>
      <c r="Y21" s="105">
        <v>0</v>
      </c>
      <c r="Z21" s="105">
        <v>0</v>
      </c>
      <c r="AA21" s="105">
        <v>0</v>
      </c>
      <c r="AB21" s="105">
        <v>0</v>
      </c>
      <c r="AC21" s="105">
        <v>0</v>
      </c>
      <c r="AD21" s="105">
        <v>0</v>
      </c>
      <c r="AE21" s="105">
        <v>1</v>
      </c>
      <c r="AF21" s="105">
        <v>1</v>
      </c>
      <c r="AG21" s="106"/>
      <c r="AH21" s="118">
        <f t="shared" si="0"/>
        <v>2</v>
      </c>
      <c r="AI21" s="91"/>
    </row>
    <row r="22" spans="1:35" ht="21" customHeight="1" x14ac:dyDescent="0.3">
      <c r="A22" s="91"/>
      <c r="B22" s="115">
        <f>setting!CA9</f>
        <v>5</v>
      </c>
      <c r="C22" s="104">
        <v>0</v>
      </c>
      <c r="D22" s="105">
        <v>0</v>
      </c>
      <c r="E22" s="105">
        <v>0</v>
      </c>
      <c r="F22" s="105">
        <v>0</v>
      </c>
      <c r="G22" s="105">
        <v>0</v>
      </c>
      <c r="H22" s="105">
        <v>0</v>
      </c>
      <c r="I22" s="105">
        <v>0</v>
      </c>
      <c r="J22" s="105">
        <v>0</v>
      </c>
      <c r="K22" s="105">
        <v>0</v>
      </c>
      <c r="L22" s="105">
        <v>0</v>
      </c>
      <c r="M22" s="105">
        <v>0</v>
      </c>
      <c r="N22" s="105">
        <v>0</v>
      </c>
      <c r="O22" s="105">
        <v>0</v>
      </c>
      <c r="P22" s="105">
        <v>0</v>
      </c>
      <c r="Q22" s="105">
        <v>0</v>
      </c>
      <c r="R22" s="105">
        <v>0</v>
      </c>
      <c r="S22" s="105">
        <v>0</v>
      </c>
      <c r="T22" s="105">
        <v>0</v>
      </c>
      <c r="U22" s="105">
        <v>0</v>
      </c>
      <c r="V22" s="105">
        <v>0</v>
      </c>
      <c r="W22" s="105">
        <v>0</v>
      </c>
      <c r="X22" s="105">
        <v>0</v>
      </c>
      <c r="Y22" s="105">
        <v>0</v>
      </c>
      <c r="Z22" s="105">
        <v>0</v>
      </c>
      <c r="AA22" s="105">
        <v>0</v>
      </c>
      <c r="AB22" s="105">
        <v>0</v>
      </c>
      <c r="AC22" s="105">
        <v>0</v>
      </c>
      <c r="AD22" s="105">
        <v>0</v>
      </c>
      <c r="AE22" s="105">
        <v>0</v>
      </c>
      <c r="AF22" s="105">
        <v>0</v>
      </c>
      <c r="AG22" s="106">
        <v>0</v>
      </c>
      <c r="AH22" s="118">
        <f t="shared" si="0"/>
        <v>0</v>
      </c>
      <c r="AI22" s="91"/>
    </row>
    <row r="23" spans="1:35" ht="21" customHeight="1" x14ac:dyDescent="0.3">
      <c r="A23" s="91"/>
      <c r="B23" s="115">
        <f>setting!CA10</f>
        <v>6</v>
      </c>
      <c r="C23" s="104">
        <v>0</v>
      </c>
      <c r="D23" s="105">
        <v>0</v>
      </c>
      <c r="E23" s="105">
        <v>0</v>
      </c>
      <c r="F23" s="105">
        <v>0</v>
      </c>
      <c r="G23" s="105">
        <v>0</v>
      </c>
      <c r="H23" s="105">
        <v>0</v>
      </c>
      <c r="I23" s="105">
        <v>0</v>
      </c>
      <c r="J23" s="105">
        <v>0</v>
      </c>
      <c r="K23" s="105">
        <v>0</v>
      </c>
      <c r="L23" s="105">
        <v>0</v>
      </c>
      <c r="M23" s="105">
        <v>0</v>
      </c>
      <c r="N23" s="105">
        <v>0</v>
      </c>
      <c r="O23" s="105">
        <v>0</v>
      </c>
      <c r="P23" s="105">
        <v>0</v>
      </c>
      <c r="Q23" s="105">
        <v>0</v>
      </c>
      <c r="R23" s="105">
        <v>0</v>
      </c>
      <c r="S23" s="105">
        <v>0</v>
      </c>
      <c r="T23" s="105">
        <v>0</v>
      </c>
      <c r="U23" s="105">
        <v>0</v>
      </c>
      <c r="V23" s="105">
        <v>0</v>
      </c>
      <c r="W23" s="105">
        <v>0</v>
      </c>
      <c r="X23" s="105">
        <v>0</v>
      </c>
      <c r="Y23" s="105">
        <v>0</v>
      </c>
      <c r="Z23" s="105">
        <v>0</v>
      </c>
      <c r="AA23" s="105">
        <v>0</v>
      </c>
      <c r="AB23" s="105">
        <v>0</v>
      </c>
      <c r="AC23" s="105">
        <v>0</v>
      </c>
      <c r="AD23" s="105">
        <v>0</v>
      </c>
      <c r="AE23" s="105">
        <v>0</v>
      </c>
      <c r="AF23" s="105">
        <v>0</v>
      </c>
      <c r="AG23" s="106"/>
      <c r="AH23" s="118">
        <f t="shared" si="0"/>
        <v>0</v>
      </c>
      <c r="AI23" s="91"/>
    </row>
    <row r="24" spans="1:35" ht="21" customHeight="1" x14ac:dyDescent="0.3">
      <c r="A24" s="91"/>
      <c r="B24" s="115">
        <f>setting!CA11</f>
        <v>7</v>
      </c>
      <c r="C24" s="104">
        <v>0</v>
      </c>
      <c r="D24" s="105">
        <v>0</v>
      </c>
      <c r="E24" s="105">
        <v>0</v>
      </c>
      <c r="F24" s="105">
        <v>0</v>
      </c>
      <c r="G24" s="105">
        <v>0</v>
      </c>
      <c r="H24" s="105">
        <v>0</v>
      </c>
      <c r="I24" s="105">
        <v>0</v>
      </c>
      <c r="J24" s="105">
        <v>0</v>
      </c>
      <c r="K24" s="105">
        <v>0</v>
      </c>
      <c r="L24" s="105">
        <v>0</v>
      </c>
      <c r="M24" s="105">
        <v>0</v>
      </c>
      <c r="N24" s="105">
        <v>0</v>
      </c>
      <c r="O24" s="105">
        <v>0</v>
      </c>
      <c r="P24" s="105">
        <v>0</v>
      </c>
      <c r="Q24" s="105">
        <v>0</v>
      </c>
      <c r="R24" s="105">
        <v>0</v>
      </c>
      <c r="S24" s="105">
        <v>0</v>
      </c>
      <c r="T24" s="105">
        <v>0</v>
      </c>
      <c r="U24" s="105">
        <v>0</v>
      </c>
      <c r="V24" s="105">
        <v>0</v>
      </c>
      <c r="W24" s="105">
        <v>0</v>
      </c>
      <c r="X24" s="105">
        <v>0</v>
      </c>
      <c r="Y24" s="105">
        <v>0</v>
      </c>
      <c r="Z24" s="105">
        <v>0</v>
      </c>
      <c r="AA24" s="105">
        <v>0</v>
      </c>
      <c r="AB24" s="105">
        <v>0</v>
      </c>
      <c r="AC24" s="105">
        <v>0</v>
      </c>
      <c r="AD24" s="105">
        <v>0</v>
      </c>
      <c r="AE24" s="105">
        <v>0</v>
      </c>
      <c r="AF24" s="105">
        <v>0</v>
      </c>
      <c r="AG24" s="106">
        <v>0</v>
      </c>
      <c r="AH24" s="118">
        <f t="shared" si="0"/>
        <v>0</v>
      </c>
      <c r="AI24" s="91"/>
    </row>
    <row r="25" spans="1:35" ht="21" customHeight="1" x14ac:dyDescent="0.3">
      <c r="A25" s="91"/>
      <c r="B25" s="115">
        <f>setting!CA12</f>
        <v>8</v>
      </c>
      <c r="C25" s="104">
        <v>0</v>
      </c>
      <c r="D25" s="105">
        <v>0</v>
      </c>
      <c r="E25" s="105">
        <v>0</v>
      </c>
      <c r="F25" s="105">
        <v>0</v>
      </c>
      <c r="G25" s="105">
        <v>1</v>
      </c>
      <c r="H25" s="105">
        <v>1</v>
      </c>
      <c r="I25" s="105">
        <v>1</v>
      </c>
      <c r="J25" s="105">
        <v>1</v>
      </c>
      <c r="K25" s="105">
        <v>1</v>
      </c>
      <c r="L25" s="105">
        <v>0</v>
      </c>
      <c r="M25" s="105">
        <v>0</v>
      </c>
      <c r="N25" s="105">
        <v>0</v>
      </c>
      <c r="O25" s="105">
        <v>0</v>
      </c>
      <c r="P25" s="105">
        <v>0</v>
      </c>
      <c r="Q25" s="105">
        <v>0</v>
      </c>
      <c r="R25" s="105">
        <v>0</v>
      </c>
      <c r="S25" s="105">
        <v>0</v>
      </c>
      <c r="T25" s="105">
        <v>0</v>
      </c>
      <c r="U25" s="105">
        <v>0</v>
      </c>
      <c r="V25" s="105">
        <v>0</v>
      </c>
      <c r="W25" s="105">
        <v>0</v>
      </c>
      <c r="X25" s="105">
        <v>0</v>
      </c>
      <c r="Y25" s="105">
        <v>0</v>
      </c>
      <c r="Z25" s="105">
        <v>0</v>
      </c>
      <c r="AA25" s="105">
        <v>0</v>
      </c>
      <c r="AB25" s="105">
        <v>0</v>
      </c>
      <c r="AC25" s="105">
        <v>0</v>
      </c>
      <c r="AD25" s="105">
        <v>0</v>
      </c>
      <c r="AE25" s="105">
        <v>0</v>
      </c>
      <c r="AF25" s="105">
        <v>0</v>
      </c>
      <c r="AG25" s="106">
        <v>0</v>
      </c>
      <c r="AH25" s="118">
        <f t="shared" si="0"/>
        <v>5</v>
      </c>
      <c r="AI25" s="91"/>
    </row>
    <row r="26" spans="1:35" ht="21" customHeight="1" x14ac:dyDescent="0.3">
      <c r="A26" s="91"/>
      <c r="B26" s="115">
        <f>setting!CA13</f>
        <v>9</v>
      </c>
      <c r="C26" s="104">
        <v>0</v>
      </c>
      <c r="D26" s="105">
        <v>0</v>
      </c>
      <c r="E26" s="105">
        <v>0</v>
      </c>
      <c r="F26" s="105">
        <v>0</v>
      </c>
      <c r="G26" s="105">
        <v>0</v>
      </c>
      <c r="H26" s="105">
        <v>0</v>
      </c>
      <c r="I26" s="105">
        <v>0</v>
      </c>
      <c r="J26" s="105">
        <v>0</v>
      </c>
      <c r="K26" s="105">
        <v>0</v>
      </c>
      <c r="L26" s="105">
        <v>0</v>
      </c>
      <c r="M26" s="105">
        <v>0</v>
      </c>
      <c r="N26" s="105">
        <v>0</v>
      </c>
      <c r="O26" s="105">
        <v>0</v>
      </c>
      <c r="P26" s="105">
        <v>0</v>
      </c>
      <c r="Q26" s="105">
        <v>0</v>
      </c>
      <c r="R26" s="105">
        <v>0</v>
      </c>
      <c r="S26" s="105">
        <v>0</v>
      </c>
      <c r="T26" s="105">
        <v>0</v>
      </c>
      <c r="U26" s="105">
        <v>0</v>
      </c>
      <c r="V26" s="105">
        <v>0</v>
      </c>
      <c r="W26" s="105">
        <v>0</v>
      </c>
      <c r="X26" s="105">
        <v>0</v>
      </c>
      <c r="Y26" s="105">
        <v>0</v>
      </c>
      <c r="Z26" s="105">
        <v>0</v>
      </c>
      <c r="AA26" s="105">
        <v>0</v>
      </c>
      <c r="AB26" s="105">
        <v>0</v>
      </c>
      <c r="AC26" s="105">
        <v>0</v>
      </c>
      <c r="AD26" s="105">
        <v>0</v>
      </c>
      <c r="AE26" s="105">
        <v>0</v>
      </c>
      <c r="AF26" s="105">
        <v>0</v>
      </c>
      <c r="AG26" s="106"/>
      <c r="AH26" s="118">
        <f t="shared" si="0"/>
        <v>0</v>
      </c>
      <c r="AI26" s="91"/>
    </row>
    <row r="27" spans="1:35" ht="21" customHeight="1" x14ac:dyDescent="0.3">
      <c r="A27" s="91"/>
      <c r="B27" s="115">
        <f>setting!CA14</f>
        <v>10</v>
      </c>
      <c r="C27" s="104">
        <v>0</v>
      </c>
      <c r="D27" s="105">
        <v>0</v>
      </c>
      <c r="E27" s="105">
        <v>0</v>
      </c>
      <c r="F27" s="105">
        <v>0</v>
      </c>
      <c r="G27" s="105">
        <v>0</v>
      </c>
      <c r="H27" s="105">
        <v>0</v>
      </c>
      <c r="I27" s="105">
        <v>0</v>
      </c>
      <c r="J27" s="105">
        <v>0</v>
      </c>
      <c r="K27" s="105">
        <v>0</v>
      </c>
      <c r="L27" s="105">
        <v>0</v>
      </c>
      <c r="M27" s="105">
        <v>0</v>
      </c>
      <c r="N27" s="105">
        <v>0</v>
      </c>
      <c r="O27" s="105">
        <v>0</v>
      </c>
      <c r="P27" s="105">
        <v>0</v>
      </c>
      <c r="Q27" s="105">
        <v>0</v>
      </c>
      <c r="R27" s="105">
        <v>0</v>
      </c>
      <c r="S27" s="105">
        <v>0</v>
      </c>
      <c r="T27" s="105">
        <v>0</v>
      </c>
      <c r="U27" s="105">
        <v>0</v>
      </c>
      <c r="V27" s="105">
        <v>0</v>
      </c>
      <c r="W27" s="105">
        <v>1</v>
      </c>
      <c r="X27" s="105">
        <v>0</v>
      </c>
      <c r="Y27" s="105">
        <v>0</v>
      </c>
      <c r="Z27" s="105">
        <v>0</v>
      </c>
      <c r="AA27" s="105">
        <v>0</v>
      </c>
      <c r="AB27" s="105">
        <v>0</v>
      </c>
      <c r="AC27" s="105">
        <v>0</v>
      </c>
      <c r="AD27" s="105">
        <v>0</v>
      </c>
      <c r="AE27" s="105">
        <v>0</v>
      </c>
      <c r="AF27" s="105">
        <v>0</v>
      </c>
      <c r="AG27" s="106">
        <v>0</v>
      </c>
      <c r="AH27" s="118">
        <f t="shared" si="0"/>
        <v>1</v>
      </c>
      <c r="AI27" s="91"/>
    </row>
    <row r="28" spans="1:35" ht="21" customHeight="1" x14ac:dyDescent="0.3">
      <c r="A28" s="91"/>
      <c r="B28" s="115">
        <f>setting!CA15</f>
        <v>11</v>
      </c>
      <c r="C28" s="104">
        <v>0</v>
      </c>
      <c r="D28" s="105">
        <v>0</v>
      </c>
      <c r="E28" s="105">
        <v>0</v>
      </c>
      <c r="F28" s="105">
        <v>0</v>
      </c>
      <c r="G28" s="105">
        <v>0</v>
      </c>
      <c r="H28" s="105">
        <v>0</v>
      </c>
      <c r="I28" s="105">
        <v>0</v>
      </c>
      <c r="J28" s="105">
        <v>0</v>
      </c>
      <c r="K28" s="105">
        <v>0</v>
      </c>
      <c r="L28" s="105">
        <v>0</v>
      </c>
      <c r="M28" s="105">
        <v>0</v>
      </c>
      <c r="N28" s="105">
        <v>0</v>
      </c>
      <c r="O28" s="105">
        <v>0</v>
      </c>
      <c r="P28" s="105">
        <v>0</v>
      </c>
      <c r="Q28" s="105">
        <v>0</v>
      </c>
      <c r="R28" s="105">
        <v>0</v>
      </c>
      <c r="S28" s="105">
        <v>0</v>
      </c>
      <c r="T28" s="105">
        <v>0</v>
      </c>
      <c r="U28" s="105">
        <v>0</v>
      </c>
      <c r="V28" s="105">
        <v>0</v>
      </c>
      <c r="W28" s="105">
        <v>0</v>
      </c>
      <c r="X28" s="105">
        <v>0</v>
      </c>
      <c r="Y28" s="105">
        <v>0</v>
      </c>
      <c r="Z28" s="105">
        <v>0</v>
      </c>
      <c r="AA28" s="105">
        <v>0</v>
      </c>
      <c r="AB28" s="105">
        <v>0</v>
      </c>
      <c r="AC28" s="105">
        <v>0</v>
      </c>
      <c r="AD28" s="105">
        <v>0</v>
      </c>
      <c r="AE28" s="105">
        <v>0</v>
      </c>
      <c r="AF28" s="105">
        <v>0</v>
      </c>
      <c r="AG28" s="106"/>
      <c r="AH28" s="118">
        <f t="shared" si="0"/>
        <v>0</v>
      </c>
      <c r="AI28" s="91"/>
    </row>
    <row r="29" spans="1:35" ht="21" customHeight="1" x14ac:dyDescent="0.3">
      <c r="A29" s="91"/>
      <c r="B29" s="116">
        <f>setting!CA16</f>
        <v>12</v>
      </c>
      <c r="C29" s="107">
        <v>0</v>
      </c>
      <c r="D29" s="108">
        <v>0</v>
      </c>
      <c r="E29" s="108">
        <v>0</v>
      </c>
      <c r="F29" s="108">
        <v>0</v>
      </c>
      <c r="G29" s="108">
        <v>0</v>
      </c>
      <c r="H29" s="108">
        <v>0</v>
      </c>
      <c r="I29" s="108">
        <v>0</v>
      </c>
      <c r="J29" s="108">
        <v>0</v>
      </c>
      <c r="K29" s="108">
        <v>0</v>
      </c>
      <c r="L29" s="108">
        <v>0</v>
      </c>
      <c r="M29" s="108">
        <v>0</v>
      </c>
      <c r="N29" s="108">
        <v>0</v>
      </c>
      <c r="O29" s="108">
        <v>0</v>
      </c>
      <c r="P29" s="108">
        <v>0</v>
      </c>
      <c r="Q29" s="108">
        <v>0</v>
      </c>
      <c r="R29" s="108">
        <v>0</v>
      </c>
      <c r="S29" s="108">
        <v>0</v>
      </c>
      <c r="T29" s="108">
        <v>0</v>
      </c>
      <c r="U29" s="108">
        <v>0</v>
      </c>
      <c r="V29" s="108">
        <v>0</v>
      </c>
      <c r="W29" s="108">
        <v>0</v>
      </c>
      <c r="X29" s="108">
        <v>0</v>
      </c>
      <c r="Y29" s="108">
        <v>0</v>
      </c>
      <c r="Z29" s="108">
        <v>0</v>
      </c>
      <c r="AA29" s="108">
        <v>0</v>
      </c>
      <c r="AB29" s="108">
        <v>0</v>
      </c>
      <c r="AC29" s="108">
        <v>0</v>
      </c>
      <c r="AD29" s="108">
        <v>0</v>
      </c>
      <c r="AE29" s="108">
        <v>0</v>
      </c>
      <c r="AF29" s="108">
        <v>0</v>
      </c>
      <c r="AG29" s="109">
        <v>0</v>
      </c>
      <c r="AH29" s="119">
        <f t="shared" si="0"/>
        <v>0</v>
      </c>
      <c r="AI29" s="91"/>
    </row>
    <row r="30" spans="1:35" ht="12" customHeight="1" x14ac:dyDescent="0.3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91"/>
    </row>
  </sheetData>
  <sheetProtection algorithmName="SHA-512" hashValue="ZrZ2TDG76exYRp+yMv6WE+ObDwTx/LlKuEpJ0rCTYbzoyP6mD1k2V9lVLTo9c6pcg3Uobvo7Cn7g25HYQ4Yp8w==" saltValue="66qr39OosXEQgxmH+aQmkA==" spinCount="100000" sheet="1" objects="1" scenarios="1" formatCells="0" formatColumns="0" formatRows="0" sort="0"/>
  <mergeCells count="33">
    <mergeCell ref="C3:D3"/>
    <mergeCell ref="E3:H3"/>
    <mergeCell ref="C4:D4"/>
    <mergeCell ref="E4:H4"/>
    <mergeCell ref="Z3:AB3"/>
    <mergeCell ref="Z4:AB4"/>
    <mergeCell ref="L4:M4"/>
    <mergeCell ref="R3:S3"/>
    <mergeCell ref="R4:S4"/>
    <mergeCell ref="T4:V4"/>
    <mergeCell ref="W3:Y3"/>
    <mergeCell ref="W4:Y4"/>
    <mergeCell ref="P3:Q3"/>
    <mergeCell ref="P4:Q4"/>
    <mergeCell ref="T3:V3"/>
    <mergeCell ref="N4:O4"/>
    <mergeCell ref="AE6:AH7"/>
    <mergeCell ref="Z9:AA9"/>
    <mergeCell ref="Z10:AA10"/>
    <mergeCell ref="Z11:AA11"/>
    <mergeCell ref="I3:K3"/>
    <mergeCell ref="I4:K4"/>
    <mergeCell ref="AC3:AE3"/>
    <mergeCell ref="AF4:AH4"/>
    <mergeCell ref="AC4:AE4"/>
    <mergeCell ref="AF3:AH3"/>
    <mergeCell ref="N3:O3"/>
    <mergeCell ref="L3:M3"/>
    <mergeCell ref="Z12:AA12"/>
    <mergeCell ref="Z13:AA13"/>
    <mergeCell ref="Z14:AA14"/>
    <mergeCell ref="Z15:AA15"/>
    <mergeCell ref="Z6:AD7"/>
  </mergeCells>
  <phoneticPr fontId="2" type="noConversion"/>
  <printOptions horizontalCentered="1" verticalCentered="1"/>
  <pageMargins left="0.39370078740157483" right="0.39370078740157483" top="0.39370078740157483" bottom="0.39370078740157483" header="0" footer="0"/>
  <pageSetup paperSize="9" scale="82" orientation="landscape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51374-431E-4BA2-803C-0B6548B2B2E0}">
  <sheetPr codeName="Sheet96">
    <pageSetUpPr autoPageBreaks="0" fitToPage="1"/>
  </sheetPr>
  <dimension ref="B1:F25"/>
  <sheetViews>
    <sheetView showGridLines="0" showRowColHeaders="0" showZeros="0" workbookViewId="0">
      <selection activeCell="B5" sqref="B5"/>
    </sheetView>
  </sheetViews>
  <sheetFormatPr defaultRowHeight="16.5" x14ac:dyDescent="0.3"/>
  <cols>
    <col min="1" max="1" width="1.25" customWidth="1"/>
    <col min="2" max="3" width="21.25" customWidth="1"/>
    <col min="4" max="6" width="13.75" customWidth="1"/>
    <col min="7" max="7" width="1.25" customWidth="1"/>
  </cols>
  <sheetData>
    <row r="1" spans="2:6" s="3" customFormat="1" ht="45" customHeight="1" x14ac:dyDescent="0.3">
      <c r="B1" s="280" t="s">
        <v>107</v>
      </c>
      <c r="C1" s="280"/>
      <c r="D1" s="280"/>
      <c r="E1" s="280"/>
      <c r="F1" s="280"/>
    </row>
    <row r="2" spans="2:6" s="3" customFormat="1" ht="22.5" customHeight="1" x14ac:dyDescent="0.3">
      <c r="B2" s="281"/>
      <c r="C2" s="281"/>
      <c r="D2" s="281"/>
      <c r="E2" s="281"/>
      <c r="F2" s="281"/>
    </row>
    <row r="3" spans="2:6" s="3" customFormat="1" ht="22.5" customHeight="1" x14ac:dyDescent="0.3">
      <c r="B3" s="282" t="s">
        <v>108</v>
      </c>
      <c r="C3" s="282"/>
      <c r="D3" s="282"/>
      <c r="E3" s="282"/>
      <c r="F3" s="282"/>
    </row>
    <row r="4" spans="2:6" s="3" customFormat="1" ht="30" customHeight="1" x14ac:dyDescent="0.3">
      <c r="B4" s="17" t="s">
        <v>31</v>
      </c>
      <c r="C4" s="283" t="s">
        <v>8</v>
      </c>
      <c r="D4" s="283"/>
      <c r="E4" s="283" t="s">
        <v>121</v>
      </c>
      <c r="F4" s="284"/>
    </row>
    <row r="5" spans="2:6" s="3" customFormat="1" ht="30" customHeight="1" thickBot="1" x14ac:dyDescent="0.35">
      <c r="B5" s="142"/>
      <c r="C5" s="286"/>
      <c r="D5" s="286"/>
      <c r="E5" s="286"/>
      <c r="F5" s="287"/>
    </row>
    <row r="6" spans="2:6" s="3" customFormat="1" ht="22.5" customHeight="1" x14ac:dyDescent="0.3">
      <c r="B6" s="288"/>
      <c r="C6" s="288"/>
      <c r="D6" s="288"/>
      <c r="E6" s="288"/>
      <c r="F6" s="288"/>
    </row>
    <row r="7" spans="2:6" s="3" customFormat="1" ht="22.5" customHeight="1" x14ac:dyDescent="0.3">
      <c r="B7" s="282" t="s">
        <v>109</v>
      </c>
      <c r="C7" s="282"/>
      <c r="D7" s="282"/>
      <c r="E7" s="282"/>
      <c r="F7" s="282"/>
    </row>
    <row r="8" spans="2:6" s="3" customFormat="1" ht="30" customHeight="1" x14ac:dyDescent="0.3">
      <c r="B8" s="289" t="s">
        <v>110</v>
      </c>
      <c r="C8" s="283"/>
      <c r="D8" s="22" t="s">
        <v>111</v>
      </c>
      <c r="E8" s="22" t="s">
        <v>112</v>
      </c>
      <c r="F8" s="23" t="s">
        <v>113</v>
      </c>
    </row>
    <row r="9" spans="2:6" s="3" customFormat="1" ht="30" customHeight="1" thickBot="1" x14ac:dyDescent="0.35">
      <c r="B9" s="290"/>
      <c r="C9" s="286"/>
      <c r="D9" s="145"/>
      <c r="E9" s="145"/>
      <c r="F9" s="146"/>
    </row>
    <row r="10" spans="2:6" s="3" customFormat="1" ht="30" customHeight="1" x14ac:dyDescent="0.3">
      <c r="B10" s="288"/>
      <c r="C10" s="288"/>
      <c r="D10" s="288"/>
      <c r="E10" s="288"/>
      <c r="F10" s="288"/>
    </row>
    <row r="11" spans="2:6" s="3" customFormat="1" ht="30" customHeight="1" x14ac:dyDescent="0.3">
      <c r="B11" s="288"/>
      <c r="C11" s="288"/>
      <c r="D11" s="288"/>
      <c r="E11" s="288"/>
      <c r="F11" s="288"/>
    </row>
    <row r="12" spans="2:6" s="3" customFormat="1" ht="30" customHeight="1" x14ac:dyDescent="0.3">
      <c r="B12" s="291" t="s">
        <v>114</v>
      </c>
      <c r="C12" s="291"/>
      <c r="D12" s="291"/>
      <c r="E12" s="24"/>
      <c r="F12" s="21" t="s">
        <v>115</v>
      </c>
    </row>
    <row r="13" spans="2:6" s="3" customFormat="1" ht="30" customHeight="1" x14ac:dyDescent="0.3">
      <c r="B13" s="292" t="s">
        <v>122</v>
      </c>
      <c r="C13" s="292"/>
      <c r="D13" s="292"/>
      <c r="E13" s="292"/>
      <c r="F13" s="292"/>
    </row>
    <row r="14" spans="2:6" s="3" customFormat="1" ht="30" customHeight="1" x14ac:dyDescent="0.3">
      <c r="B14" s="288"/>
      <c r="C14" s="288"/>
      <c r="D14" s="288"/>
      <c r="E14" s="288"/>
      <c r="F14" s="288"/>
    </row>
    <row r="15" spans="2:6" s="3" customFormat="1" ht="30" customHeight="1" x14ac:dyDescent="0.3">
      <c r="B15" s="285" t="s">
        <v>116</v>
      </c>
      <c r="C15" s="285"/>
      <c r="D15" s="285"/>
      <c r="E15" s="285"/>
      <c r="F15" s="285"/>
    </row>
    <row r="16" spans="2:6" s="3" customFormat="1" ht="30" customHeight="1" x14ac:dyDescent="0.3">
      <c r="B16" s="288"/>
      <c r="C16" s="288"/>
      <c r="D16" s="288"/>
      <c r="E16" s="288"/>
      <c r="F16" s="288"/>
    </row>
    <row r="17" spans="2:6" s="3" customFormat="1" ht="30" customHeight="1" x14ac:dyDescent="0.3">
      <c r="B17" s="285" t="s">
        <v>117</v>
      </c>
      <c r="C17" s="285"/>
      <c r="D17" s="285"/>
      <c r="E17" s="285"/>
      <c r="F17" s="285"/>
    </row>
    <row r="18" spans="2:6" s="3" customFormat="1" ht="30" customHeight="1" x14ac:dyDescent="0.3">
      <c r="B18" s="285" t="s">
        <v>118</v>
      </c>
      <c r="C18" s="285"/>
      <c r="D18" s="285"/>
      <c r="E18" s="285"/>
      <c r="F18" s="285"/>
    </row>
    <row r="19" spans="2:6" s="3" customFormat="1" ht="30" customHeight="1" x14ac:dyDescent="0.3">
      <c r="B19" s="288"/>
      <c r="C19" s="288"/>
      <c r="D19" s="288"/>
      <c r="E19" s="288"/>
      <c r="F19" s="288"/>
    </row>
    <row r="20" spans="2:6" s="3" customFormat="1" ht="30" customHeight="1" x14ac:dyDescent="0.3">
      <c r="B20" s="288"/>
      <c r="C20" s="288"/>
      <c r="D20" s="288"/>
      <c r="E20" s="288"/>
      <c r="F20" s="288"/>
    </row>
    <row r="21" spans="2:6" s="3" customFormat="1" ht="30" customHeight="1" x14ac:dyDescent="0.3">
      <c r="B21" s="288"/>
      <c r="C21" s="288"/>
      <c r="D21" s="288"/>
      <c r="E21" s="288"/>
      <c r="F21" s="288"/>
    </row>
    <row r="22" spans="2:6" s="3" customFormat="1" ht="30" customHeight="1" x14ac:dyDescent="0.3">
      <c r="B22" s="293">
        <v>44013</v>
      </c>
      <c r="C22" s="293"/>
      <c r="D22" s="293"/>
      <c r="E22" s="293"/>
      <c r="F22" s="293"/>
    </row>
    <row r="23" spans="2:6" s="3" customFormat="1" ht="30" customHeight="1" x14ac:dyDescent="0.3">
      <c r="B23" s="288"/>
      <c r="C23" s="288"/>
      <c r="D23" s="288"/>
      <c r="E23" s="288"/>
      <c r="F23" s="288"/>
    </row>
    <row r="24" spans="2:6" s="3" customFormat="1" ht="30" customHeight="1" x14ac:dyDescent="0.3">
      <c r="B24" s="294" t="s">
        <v>119</v>
      </c>
      <c r="C24" s="294"/>
      <c r="D24" s="294"/>
      <c r="E24" s="294"/>
      <c r="F24" s="294"/>
    </row>
    <row r="25" spans="2:6" s="3" customFormat="1" ht="30" customHeight="1" x14ac:dyDescent="0.3">
      <c r="B25" s="295" t="s">
        <v>120</v>
      </c>
      <c r="C25" s="295"/>
      <c r="D25" s="295"/>
      <c r="E25" s="295"/>
      <c r="F25" s="295"/>
    </row>
  </sheetData>
  <mergeCells count="27"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21:F21"/>
    <mergeCell ref="B15:F15"/>
    <mergeCell ref="C5:D5"/>
    <mergeCell ref="E5:F5"/>
    <mergeCell ref="B6:F6"/>
    <mergeCell ref="B7:F7"/>
    <mergeCell ref="B8:C8"/>
    <mergeCell ref="B9:C9"/>
    <mergeCell ref="B10:F10"/>
    <mergeCell ref="B11:F11"/>
    <mergeCell ref="B12:D12"/>
    <mergeCell ref="B13:F13"/>
    <mergeCell ref="B14:F14"/>
    <mergeCell ref="B1:F1"/>
    <mergeCell ref="B2:F2"/>
    <mergeCell ref="B3:F3"/>
    <mergeCell ref="C4:D4"/>
    <mergeCell ref="E4:F4"/>
  </mergeCells>
  <phoneticPr fontId="2" type="noConversion"/>
  <dataValidations count="1">
    <dataValidation allowBlank="1" showInputMessage="1" showErrorMessage="1" prompt="셀을 더블클릭하여 조회하세요." sqref="B5:F5" xr:uid="{1FE2EC74-093D-4749-9ACA-E74BD7B06128}"/>
  </dataValidations>
  <printOptions horizontalCentered="1" verticalCentered="1"/>
  <pageMargins left="0.39370078740157483" right="0.39370078740157483" top="0.59055118110236227" bottom="0.39370078740157483" header="0" footer="0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A0601-77E3-4015-97BF-8B09BEC98B3C}">
  <sheetPr codeName="Sheet97">
    <pageSetUpPr autoPageBreaks="0" fitToPage="1"/>
  </sheetPr>
  <dimension ref="B1:P35"/>
  <sheetViews>
    <sheetView showGridLines="0" showRowColHeaders="0" showZeros="0" zoomScaleNormal="100" workbookViewId="0">
      <selection activeCell="B5" sqref="B5"/>
    </sheetView>
  </sheetViews>
  <sheetFormatPr defaultRowHeight="15" customHeight="1" x14ac:dyDescent="0.3"/>
  <cols>
    <col min="1" max="1" width="1.25" style="3" customWidth="1"/>
    <col min="2" max="3" width="21.25" style="3" customWidth="1"/>
    <col min="4" max="6" width="13.75" style="3" customWidth="1"/>
    <col min="7" max="7" width="1.25" style="3" customWidth="1"/>
    <col min="8" max="16384" width="9" style="3"/>
  </cols>
  <sheetData>
    <row r="1" spans="2:16" ht="45" customHeight="1" x14ac:dyDescent="0.3">
      <c r="B1" s="280" t="s">
        <v>123</v>
      </c>
      <c r="C1" s="280"/>
      <c r="D1" s="280"/>
      <c r="E1" s="280"/>
      <c r="F1" s="280"/>
      <c r="J1" s="25"/>
      <c r="K1" s="25"/>
      <c r="L1" s="25"/>
      <c r="M1" s="25"/>
      <c r="N1" s="25"/>
      <c r="O1" s="25"/>
      <c r="P1" s="25"/>
    </row>
    <row r="2" spans="2:16" ht="22.5" customHeight="1" x14ac:dyDescent="0.3">
      <c r="B2" s="281"/>
      <c r="C2" s="281"/>
      <c r="D2" s="281"/>
      <c r="E2" s="281"/>
      <c r="F2" s="281"/>
    </row>
    <row r="3" spans="2:16" ht="22.5" customHeight="1" x14ac:dyDescent="0.3">
      <c r="B3" s="282" t="s">
        <v>108</v>
      </c>
      <c r="C3" s="282"/>
      <c r="D3" s="282"/>
      <c r="E3" s="282"/>
      <c r="F3" s="282"/>
    </row>
    <row r="4" spans="2:16" ht="30" customHeight="1" x14ac:dyDescent="0.3">
      <c r="B4" s="17" t="s">
        <v>7</v>
      </c>
      <c r="C4" s="283" t="s">
        <v>8</v>
      </c>
      <c r="D4" s="283"/>
      <c r="E4" s="283" t="s">
        <v>43</v>
      </c>
      <c r="F4" s="284"/>
    </row>
    <row r="5" spans="2:16" ht="30" customHeight="1" thickBot="1" x14ac:dyDescent="0.35">
      <c r="B5" s="142"/>
      <c r="C5" s="286"/>
      <c r="D5" s="286"/>
      <c r="E5" s="286"/>
      <c r="F5" s="287"/>
    </row>
    <row r="6" spans="2:16" ht="22.5" customHeight="1" x14ac:dyDescent="0.3">
      <c r="B6" s="288"/>
      <c r="C6" s="288"/>
      <c r="D6" s="288"/>
      <c r="E6" s="288"/>
      <c r="F6" s="288"/>
    </row>
    <row r="7" spans="2:16" ht="22.5" customHeight="1" x14ac:dyDescent="0.3">
      <c r="B7" s="282" t="s">
        <v>109</v>
      </c>
      <c r="C7" s="282"/>
      <c r="D7" s="282"/>
      <c r="E7" s="282"/>
      <c r="F7" s="282"/>
    </row>
    <row r="8" spans="2:16" ht="30" customHeight="1" x14ac:dyDescent="0.3">
      <c r="B8" s="289" t="s">
        <v>110</v>
      </c>
      <c r="C8" s="283"/>
      <c r="D8" s="22" t="s">
        <v>111</v>
      </c>
      <c r="E8" s="22" t="s">
        <v>112</v>
      </c>
      <c r="F8" s="23" t="s">
        <v>113</v>
      </c>
    </row>
    <row r="9" spans="2:16" ht="30" customHeight="1" thickBot="1" x14ac:dyDescent="0.35">
      <c r="B9" s="290"/>
      <c r="C9" s="286"/>
      <c r="D9" s="145"/>
      <c r="E9" s="145"/>
      <c r="F9" s="146"/>
    </row>
    <row r="10" spans="2:16" ht="18.75" customHeight="1" x14ac:dyDescent="0.3">
      <c r="B10" s="288"/>
      <c r="C10" s="288"/>
      <c r="D10" s="288"/>
      <c r="E10" s="288"/>
      <c r="F10" s="288"/>
    </row>
    <row r="11" spans="2:16" ht="22.5" customHeight="1" x14ac:dyDescent="0.3">
      <c r="B11" s="298" t="s">
        <v>124</v>
      </c>
      <c r="C11" s="298"/>
      <c r="D11" s="298"/>
      <c r="E11" s="298"/>
      <c r="F11" s="298"/>
    </row>
    <row r="12" spans="2:16" ht="22.5" customHeight="1" x14ac:dyDescent="0.3">
      <c r="B12" s="298" t="s">
        <v>125</v>
      </c>
      <c r="C12" s="298"/>
      <c r="D12" s="298"/>
      <c r="E12" s="298"/>
      <c r="F12" s="298"/>
    </row>
    <row r="13" spans="2:16" ht="18.75" customHeight="1" x14ac:dyDescent="0.3">
      <c r="B13" s="288"/>
      <c r="C13" s="288"/>
      <c r="D13" s="288"/>
      <c r="E13" s="288"/>
      <c r="F13" s="288"/>
    </row>
    <row r="14" spans="2:16" ht="30" customHeight="1" x14ac:dyDescent="0.3">
      <c r="B14" s="282" t="s">
        <v>126</v>
      </c>
      <c r="C14" s="282"/>
      <c r="D14" s="282"/>
      <c r="E14" s="282"/>
      <c r="F14" s="282"/>
    </row>
    <row r="15" spans="2:16" ht="26.25" customHeight="1" thickBot="1" x14ac:dyDescent="0.35">
      <c r="B15" s="27" t="s">
        <v>127</v>
      </c>
      <c r="C15" s="28" t="s">
        <v>128</v>
      </c>
      <c r="D15" s="28" t="s">
        <v>129</v>
      </c>
      <c r="E15" s="296" t="s">
        <v>130</v>
      </c>
      <c r="F15" s="297"/>
    </row>
    <row r="16" spans="2:16" ht="26.25" customHeight="1" x14ac:dyDescent="0.3">
      <c r="B16" s="172">
        <v>7</v>
      </c>
      <c r="C16" s="151"/>
      <c r="D16" s="147"/>
      <c r="E16" s="299"/>
      <c r="F16" s="300"/>
    </row>
    <row r="17" spans="2:6" ht="26.25" customHeight="1" x14ac:dyDescent="0.3">
      <c r="B17" s="173"/>
      <c r="C17" s="152"/>
      <c r="D17" s="148"/>
      <c r="E17" s="301"/>
      <c r="F17" s="302"/>
    </row>
    <row r="18" spans="2:6" ht="26.25" customHeight="1" x14ac:dyDescent="0.3">
      <c r="B18" s="173"/>
      <c r="C18" s="152"/>
      <c r="D18" s="148"/>
      <c r="E18" s="301"/>
      <c r="F18" s="302"/>
    </row>
    <row r="19" spans="2:6" ht="26.25" customHeight="1" x14ac:dyDescent="0.3">
      <c r="B19" s="173"/>
      <c r="C19" s="152"/>
      <c r="D19" s="148"/>
      <c r="E19" s="301"/>
      <c r="F19" s="302"/>
    </row>
    <row r="20" spans="2:6" ht="26.25" customHeight="1" x14ac:dyDescent="0.3">
      <c r="B20" s="173"/>
      <c r="C20" s="152"/>
      <c r="D20" s="148"/>
      <c r="E20" s="301"/>
      <c r="F20" s="302"/>
    </row>
    <row r="21" spans="2:6" ht="26.25" customHeight="1" x14ac:dyDescent="0.3">
      <c r="B21" s="173"/>
      <c r="C21" s="152"/>
      <c r="D21" s="148"/>
      <c r="E21" s="301"/>
      <c r="F21" s="302"/>
    </row>
    <row r="22" spans="2:6" ht="26.25" customHeight="1" x14ac:dyDescent="0.3">
      <c r="B22" s="173"/>
      <c r="C22" s="152"/>
      <c r="D22" s="148"/>
      <c r="E22" s="302"/>
      <c r="F22" s="303"/>
    </row>
    <row r="23" spans="2:6" ht="26.25" customHeight="1" x14ac:dyDescent="0.3">
      <c r="B23" s="173"/>
      <c r="C23" s="152"/>
      <c r="D23" s="148"/>
      <c r="E23" s="302"/>
      <c r="F23" s="303"/>
    </row>
    <row r="24" spans="2:6" ht="26.25" customHeight="1" x14ac:dyDescent="0.3">
      <c r="B24" s="174"/>
      <c r="C24" s="154"/>
      <c r="D24" s="149"/>
      <c r="E24" s="304"/>
      <c r="F24" s="305"/>
    </row>
    <row r="25" spans="2:6" ht="18.75" customHeight="1" x14ac:dyDescent="0.3">
      <c r="B25" s="298"/>
      <c r="C25" s="298"/>
      <c r="D25" s="298"/>
      <c r="E25" s="298"/>
      <c r="F25" s="298"/>
    </row>
    <row r="26" spans="2:6" ht="22.5" customHeight="1" x14ac:dyDescent="0.3">
      <c r="B26" s="293">
        <v>44013</v>
      </c>
      <c r="C26" s="293"/>
      <c r="D26" s="293"/>
      <c r="E26" s="293"/>
      <c r="F26" s="293"/>
    </row>
    <row r="27" spans="2:6" ht="18.75" customHeight="1" x14ac:dyDescent="0.3">
      <c r="B27" s="288"/>
      <c r="C27" s="288"/>
      <c r="D27" s="288"/>
      <c r="E27" s="288"/>
      <c r="F27" s="288"/>
    </row>
    <row r="28" spans="2:6" ht="30" customHeight="1" x14ac:dyDescent="0.3">
      <c r="B28" s="294" t="s">
        <v>119</v>
      </c>
      <c r="C28" s="294"/>
      <c r="D28" s="294"/>
      <c r="E28" s="294"/>
      <c r="F28" s="294"/>
    </row>
    <row r="29" spans="2:6" ht="30" customHeight="1" x14ac:dyDescent="0.3">
      <c r="B29" s="295" t="s">
        <v>120</v>
      </c>
      <c r="C29" s="295"/>
      <c r="D29" s="295"/>
      <c r="E29" s="295"/>
      <c r="F29" s="295"/>
    </row>
    <row r="30" spans="2:6" ht="15" customHeight="1" x14ac:dyDescent="0.3">
      <c r="B30" s="288"/>
      <c r="C30" s="288"/>
      <c r="D30" s="288"/>
      <c r="E30" s="288"/>
      <c r="F30" s="288"/>
    </row>
    <row r="31" spans="2:6" ht="15" customHeight="1" x14ac:dyDescent="0.3">
      <c r="B31" s="298"/>
      <c r="C31" s="298"/>
      <c r="D31" s="298"/>
      <c r="E31" s="298"/>
      <c r="F31" s="298"/>
    </row>
    <row r="32" spans="2:6" ht="15" customHeight="1" x14ac:dyDescent="0.3">
      <c r="B32" s="298"/>
      <c r="C32" s="298"/>
      <c r="D32" s="298"/>
      <c r="E32" s="298"/>
      <c r="F32" s="298"/>
    </row>
    <row r="33" spans="2:6" ht="15" customHeight="1" x14ac:dyDescent="0.3">
      <c r="B33" s="298"/>
      <c r="C33" s="298"/>
      <c r="D33" s="298"/>
      <c r="E33" s="298"/>
      <c r="F33" s="298"/>
    </row>
    <row r="34" spans="2:6" ht="15" customHeight="1" x14ac:dyDescent="0.3">
      <c r="B34" s="298"/>
      <c r="C34" s="298"/>
      <c r="D34" s="298"/>
      <c r="E34" s="298"/>
      <c r="F34" s="298"/>
    </row>
    <row r="35" spans="2:6" ht="15" customHeight="1" x14ac:dyDescent="0.3">
      <c r="B35" s="298"/>
      <c r="C35" s="298"/>
      <c r="D35" s="298"/>
      <c r="E35" s="298"/>
      <c r="F35" s="298"/>
    </row>
  </sheetData>
  <mergeCells count="37">
    <mergeCell ref="B34:F34"/>
    <mergeCell ref="B35:F35"/>
    <mergeCell ref="B28:F28"/>
    <mergeCell ref="B29:F29"/>
    <mergeCell ref="B30:F30"/>
    <mergeCell ref="B31:F31"/>
    <mergeCell ref="B32:F32"/>
    <mergeCell ref="B33:F33"/>
    <mergeCell ref="B27:F27"/>
    <mergeCell ref="E16:F16"/>
    <mergeCell ref="E17:F17"/>
    <mergeCell ref="E18:F18"/>
    <mergeCell ref="E19:F19"/>
    <mergeCell ref="E20:F20"/>
    <mergeCell ref="E21:F21"/>
    <mergeCell ref="B25:F25"/>
    <mergeCell ref="B26:F26"/>
    <mergeCell ref="E22:F22"/>
    <mergeCell ref="E23:F23"/>
    <mergeCell ref="E24:F24"/>
    <mergeCell ref="E15:F15"/>
    <mergeCell ref="C5:D5"/>
    <mergeCell ref="E5:F5"/>
    <mergeCell ref="B6:F6"/>
    <mergeCell ref="B7:F7"/>
    <mergeCell ref="B8:C8"/>
    <mergeCell ref="B9:C9"/>
    <mergeCell ref="B10:F10"/>
    <mergeCell ref="B11:F11"/>
    <mergeCell ref="B12:F12"/>
    <mergeCell ref="B13:F13"/>
    <mergeCell ref="B14:F14"/>
    <mergeCell ref="B1:F1"/>
    <mergeCell ref="B2:F2"/>
    <mergeCell ref="B3:F3"/>
    <mergeCell ref="C4:D4"/>
    <mergeCell ref="E4:F4"/>
  </mergeCells>
  <phoneticPr fontId="2" type="noConversion"/>
  <dataValidations count="2">
    <dataValidation type="list" allowBlank="1" showInputMessage="1" showErrorMessage="1" sqref="B16:B24" xr:uid="{2E2F148A-7740-4527-AA0F-AB1E13631FF5}">
      <formula1>List_M</formula1>
    </dataValidation>
    <dataValidation allowBlank="1" showInputMessage="1" showErrorMessage="1" prompt="셀을 더블클릭하여 조회하세요." sqref="B5:F5" xr:uid="{C406C6FB-25BC-47BF-BF0C-6F891E2AEC49}"/>
  </dataValidations>
  <printOptions horizontalCentered="1"/>
  <pageMargins left="0.39370078740157483" right="0.39370078740157483" top="0.59055118110236227" bottom="0.39370078740157483" header="0" footer="0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3B299-D1D0-407E-9609-F80325D59354}">
  <sheetPr codeName="Sheet98">
    <pageSetUpPr autoPageBreaks="0" fitToPage="1"/>
  </sheetPr>
  <dimension ref="B1:P36"/>
  <sheetViews>
    <sheetView showGridLines="0" showRowColHeaders="0" showZeros="0" zoomScaleNormal="100" workbookViewId="0">
      <selection activeCell="B5" sqref="B5"/>
    </sheetView>
  </sheetViews>
  <sheetFormatPr defaultRowHeight="15" customHeight="1" x14ac:dyDescent="0.3"/>
  <cols>
    <col min="1" max="1" width="1.25" style="3" customWidth="1"/>
    <col min="2" max="3" width="21.25" style="3" customWidth="1"/>
    <col min="4" max="6" width="13.75" style="3" customWidth="1"/>
    <col min="7" max="7" width="1.25" style="3" customWidth="1"/>
    <col min="8" max="16384" width="9" style="3"/>
  </cols>
  <sheetData>
    <row r="1" spans="2:16" ht="45" customHeight="1" x14ac:dyDescent="0.3">
      <c r="B1" s="280" t="s">
        <v>131</v>
      </c>
      <c r="C1" s="280"/>
      <c r="D1" s="280"/>
      <c r="E1" s="280"/>
      <c r="F1" s="280"/>
      <c r="J1" s="25"/>
      <c r="K1" s="25"/>
      <c r="L1" s="25"/>
      <c r="M1" s="25"/>
      <c r="N1" s="25"/>
      <c r="O1" s="25"/>
      <c r="P1" s="25"/>
    </row>
    <row r="2" spans="2:16" ht="22.5" customHeight="1" x14ac:dyDescent="0.3">
      <c r="B2" s="281"/>
      <c r="C2" s="281"/>
      <c r="D2" s="281"/>
      <c r="E2" s="281"/>
      <c r="F2" s="281"/>
    </row>
    <row r="3" spans="2:16" ht="22.5" customHeight="1" x14ac:dyDescent="0.3">
      <c r="B3" s="282" t="s">
        <v>108</v>
      </c>
      <c r="C3" s="282"/>
      <c r="D3" s="282"/>
      <c r="E3" s="282"/>
      <c r="F3" s="282"/>
    </row>
    <row r="4" spans="2:16" ht="30" customHeight="1" x14ac:dyDescent="0.3">
      <c r="B4" s="17" t="s">
        <v>7</v>
      </c>
      <c r="C4" s="283" t="s">
        <v>8</v>
      </c>
      <c r="D4" s="283"/>
      <c r="E4" s="283" t="s">
        <v>43</v>
      </c>
      <c r="F4" s="284"/>
    </row>
    <row r="5" spans="2:16" ht="30" customHeight="1" thickBot="1" x14ac:dyDescent="0.35">
      <c r="B5" s="142"/>
      <c r="C5" s="286"/>
      <c r="D5" s="286"/>
      <c r="E5" s="286"/>
      <c r="F5" s="287"/>
    </row>
    <row r="6" spans="2:16" ht="22.5" customHeight="1" x14ac:dyDescent="0.3">
      <c r="B6" s="288"/>
      <c r="C6" s="288"/>
      <c r="D6" s="288"/>
      <c r="E6" s="288"/>
      <c r="F6" s="288"/>
    </row>
    <row r="7" spans="2:16" ht="22.5" customHeight="1" x14ac:dyDescent="0.3">
      <c r="B7" s="282" t="s">
        <v>132</v>
      </c>
      <c r="C7" s="282"/>
      <c r="D7" s="282"/>
      <c r="E7" s="282"/>
      <c r="F7" s="282"/>
    </row>
    <row r="8" spans="2:16" ht="30" customHeight="1" x14ac:dyDescent="0.3">
      <c r="B8" s="289" t="s">
        <v>110</v>
      </c>
      <c r="C8" s="283"/>
      <c r="D8" s="22" t="s">
        <v>111</v>
      </c>
      <c r="E8" s="22" t="s">
        <v>112</v>
      </c>
      <c r="F8" s="23" t="s">
        <v>113</v>
      </c>
    </row>
    <row r="9" spans="2:16" ht="30" customHeight="1" thickBot="1" x14ac:dyDescent="0.35">
      <c r="B9" s="290"/>
      <c r="C9" s="286"/>
      <c r="D9" s="145"/>
      <c r="E9" s="145"/>
      <c r="F9" s="146">
        <f>D9-E9</f>
        <v>0</v>
      </c>
    </row>
    <row r="10" spans="2:16" ht="22.5" customHeight="1" x14ac:dyDescent="0.3">
      <c r="B10" s="288"/>
      <c r="C10" s="288"/>
      <c r="D10" s="288"/>
      <c r="E10" s="288"/>
      <c r="F10" s="288"/>
    </row>
    <row r="11" spans="2:16" ht="30" customHeight="1" x14ac:dyDescent="0.3">
      <c r="B11" s="282" t="s">
        <v>133</v>
      </c>
      <c r="C11" s="282"/>
      <c r="D11" s="282"/>
      <c r="E11" s="282"/>
      <c r="F11" s="282"/>
    </row>
    <row r="12" spans="2:16" ht="26.25" customHeight="1" thickBot="1" x14ac:dyDescent="0.35">
      <c r="B12" s="27" t="s">
        <v>127</v>
      </c>
      <c r="C12" s="28" t="s">
        <v>128</v>
      </c>
      <c r="D12" s="28" t="s">
        <v>129</v>
      </c>
      <c r="E12" s="296" t="s">
        <v>130</v>
      </c>
      <c r="F12" s="297"/>
    </row>
    <row r="13" spans="2:16" ht="26.25" customHeight="1" x14ac:dyDescent="0.3">
      <c r="B13" s="172">
        <v>7</v>
      </c>
      <c r="C13" s="151"/>
      <c r="D13" s="147"/>
      <c r="E13" s="299"/>
      <c r="F13" s="300"/>
    </row>
    <row r="14" spans="2:16" ht="26.25" customHeight="1" x14ac:dyDescent="0.3">
      <c r="B14" s="173"/>
      <c r="C14" s="152"/>
      <c r="D14" s="148"/>
      <c r="E14" s="301"/>
      <c r="F14" s="302"/>
    </row>
    <row r="15" spans="2:16" ht="26.25" customHeight="1" x14ac:dyDescent="0.3">
      <c r="B15" s="173"/>
      <c r="C15" s="152"/>
      <c r="D15" s="148"/>
      <c r="E15" s="301"/>
      <c r="F15" s="302"/>
    </row>
    <row r="16" spans="2:16" ht="26.25" customHeight="1" x14ac:dyDescent="0.3">
      <c r="B16" s="173"/>
      <c r="C16" s="152"/>
      <c r="D16" s="148"/>
      <c r="E16" s="301"/>
      <c r="F16" s="302"/>
    </row>
    <row r="17" spans="2:6" ht="26.25" customHeight="1" x14ac:dyDescent="0.3">
      <c r="B17" s="173"/>
      <c r="C17" s="152"/>
      <c r="D17" s="148"/>
      <c r="E17" s="301"/>
      <c r="F17" s="302"/>
    </row>
    <row r="18" spans="2:6" ht="26.25" customHeight="1" x14ac:dyDescent="0.3">
      <c r="B18" s="173"/>
      <c r="C18" s="152"/>
      <c r="D18" s="148"/>
      <c r="E18" s="171"/>
      <c r="F18" s="153"/>
    </row>
    <row r="19" spans="2:6" ht="26.25" customHeight="1" x14ac:dyDescent="0.3">
      <c r="B19" s="173"/>
      <c r="C19" s="152"/>
      <c r="D19" s="148"/>
      <c r="E19" s="302"/>
      <c r="F19" s="303"/>
    </row>
    <row r="20" spans="2:6" ht="26.25" customHeight="1" x14ac:dyDescent="0.3">
      <c r="B20" s="173"/>
      <c r="C20" s="152"/>
      <c r="D20" s="148"/>
      <c r="E20" s="302"/>
      <c r="F20" s="303"/>
    </row>
    <row r="21" spans="2:6" ht="26.25" customHeight="1" x14ac:dyDescent="0.3">
      <c r="B21" s="174"/>
      <c r="C21" s="154"/>
      <c r="D21" s="149"/>
      <c r="E21" s="304"/>
      <c r="F21" s="305"/>
    </row>
    <row r="22" spans="2:6" ht="22.5" customHeight="1" x14ac:dyDescent="0.3">
      <c r="B22" s="298"/>
      <c r="C22" s="298"/>
      <c r="D22" s="298"/>
      <c r="E22" s="298"/>
      <c r="F22" s="298"/>
    </row>
    <row r="23" spans="2:6" ht="22.5" customHeight="1" x14ac:dyDescent="0.3">
      <c r="B23" s="298" t="s">
        <v>134</v>
      </c>
      <c r="C23" s="298"/>
      <c r="D23" s="298"/>
      <c r="E23" s="298"/>
      <c r="F23" s="298"/>
    </row>
    <row r="24" spans="2:6" ht="22.5" customHeight="1" x14ac:dyDescent="0.3">
      <c r="B24" s="298" t="s">
        <v>135</v>
      </c>
      <c r="C24" s="306"/>
      <c r="D24" s="306"/>
      <c r="E24" s="306"/>
      <c r="F24" s="306"/>
    </row>
    <row r="25" spans="2:6" ht="22.5" customHeight="1" x14ac:dyDescent="0.3">
      <c r="B25" s="298"/>
      <c r="C25" s="298"/>
      <c r="D25" s="298"/>
      <c r="E25" s="298"/>
      <c r="F25" s="298"/>
    </row>
    <row r="26" spans="2:6" ht="22.5" customHeight="1" x14ac:dyDescent="0.3">
      <c r="B26" s="298"/>
      <c r="C26" s="298"/>
      <c r="D26" s="26" t="s">
        <v>136</v>
      </c>
      <c r="E26" s="29"/>
      <c r="F26" s="5"/>
    </row>
    <row r="27" spans="2:6" ht="22.5" customHeight="1" x14ac:dyDescent="0.3">
      <c r="B27" s="307" t="s">
        <v>137</v>
      </c>
      <c r="C27" s="307"/>
      <c r="D27" s="307"/>
      <c r="E27" s="30"/>
      <c r="F27" s="3" t="s">
        <v>138</v>
      </c>
    </row>
    <row r="28" spans="2:6" ht="22.5" customHeight="1" x14ac:dyDescent="0.3">
      <c r="B28" s="298"/>
      <c r="C28" s="298"/>
      <c r="D28" s="298"/>
      <c r="E28" s="298"/>
      <c r="F28" s="298"/>
    </row>
    <row r="29" spans="2:6" ht="30" customHeight="1" x14ac:dyDescent="0.3">
      <c r="B29" s="295" t="s">
        <v>119</v>
      </c>
      <c r="C29" s="295"/>
      <c r="D29" s="295"/>
      <c r="E29" s="295"/>
      <c r="F29" s="295"/>
    </row>
    <row r="30" spans="2:6" ht="15" customHeight="1" x14ac:dyDescent="0.3">
      <c r="B30" s="288"/>
      <c r="C30" s="288"/>
      <c r="D30" s="288"/>
      <c r="E30" s="288"/>
      <c r="F30" s="288"/>
    </row>
    <row r="31" spans="2:6" ht="15" customHeight="1" x14ac:dyDescent="0.3">
      <c r="B31" s="288"/>
      <c r="C31" s="288"/>
      <c r="D31" s="288"/>
      <c r="E31" s="288"/>
      <c r="F31" s="288"/>
    </row>
    <row r="32" spans="2:6" ht="15" customHeight="1" x14ac:dyDescent="0.3">
      <c r="B32" s="298"/>
      <c r="C32" s="298"/>
      <c r="D32" s="298"/>
      <c r="E32" s="298"/>
      <c r="F32" s="298"/>
    </row>
    <row r="33" spans="2:6" ht="15" customHeight="1" x14ac:dyDescent="0.3">
      <c r="B33" s="298"/>
      <c r="C33" s="298"/>
      <c r="D33" s="298"/>
      <c r="E33" s="298"/>
      <c r="F33" s="298"/>
    </row>
    <row r="34" spans="2:6" ht="15" customHeight="1" x14ac:dyDescent="0.3">
      <c r="B34" s="298"/>
      <c r="C34" s="298"/>
      <c r="D34" s="298"/>
      <c r="E34" s="298"/>
      <c r="F34" s="298"/>
    </row>
    <row r="35" spans="2:6" ht="15" customHeight="1" x14ac:dyDescent="0.3">
      <c r="B35" s="298"/>
      <c r="C35" s="298"/>
      <c r="D35" s="298"/>
      <c r="E35" s="298"/>
      <c r="F35" s="298"/>
    </row>
    <row r="36" spans="2:6" ht="15" customHeight="1" x14ac:dyDescent="0.3">
      <c r="B36" s="298"/>
      <c r="C36" s="298"/>
      <c r="D36" s="298"/>
      <c r="E36" s="298"/>
      <c r="F36" s="298"/>
    </row>
  </sheetData>
  <mergeCells count="37">
    <mergeCell ref="B34:F34"/>
    <mergeCell ref="B35:F35"/>
    <mergeCell ref="B36:F36"/>
    <mergeCell ref="B29:F29"/>
    <mergeCell ref="B30:F30"/>
    <mergeCell ref="B31:F31"/>
    <mergeCell ref="B32:F32"/>
    <mergeCell ref="B33:F33"/>
    <mergeCell ref="B28:F28"/>
    <mergeCell ref="E16:F16"/>
    <mergeCell ref="E17:F17"/>
    <mergeCell ref="E19:F19"/>
    <mergeCell ref="B22:F22"/>
    <mergeCell ref="B23:F23"/>
    <mergeCell ref="B24:F24"/>
    <mergeCell ref="B25:F25"/>
    <mergeCell ref="B26:C26"/>
    <mergeCell ref="B27:D27"/>
    <mergeCell ref="E20:F20"/>
    <mergeCell ref="E21:F21"/>
    <mergeCell ref="E15:F15"/>
    <mergeCell ref="C5:D5"/>
    <mergeCell ref="E5:F5"/>
    <mergeCell ref="B6:F6"/>
    <mergeCell ref="B7:F7"/>
    <mergeCell ref="B8:C8"/>
    <mergeCell ref="B9:C9"/>
    <mergeCell ref="B10:F10"/>
    <mergeCell ref="B11:F11"/>
    <mergeCell ref="E12:F12"/>
    <mergeCell ref="E13:F13"/>
    <mergeCell ref="E14:F14"/>
    <mergeCell ref="B1:F1"/>
    <mergeCell ref="B2:F2"/>
    <mergeCell ref="B3:F3"/>
    <mergeCell ref="C4:D4"/>
    <mergeCell ref="E4:F4"/>
  </mergeCells>
  <phoneticPr fontId="2" type="noConversion"/>
  <dataValidations disablePrompts="1" count="1">
    <dataValidation type="list" allowBlank="1" showInputMessage="1" showErrorMessage="1" sqref="B13:B21" xr:uid="{4272DEFE-4EFC-49D2-BE5E-480691F2D8F1}">
      <formula1>List_M</formula1>
    </dataValidation>
  </dataValidations>
  <printOptions horizontalCentered="1"/>
  <pageMargins left="0.39370078740157483" right="0.39370078740157483" top="0.59055118110236227" bottom="0.39370078740157483" header="0" footer="0"/>
  <pageSetup paperSize="9" scale="98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0773F-7185-41AD-B11C-0ABC76B0B403}">
  <sheetPr codeName="Sheet4">
    <pageSetUpPr autoPageBreaks="0"/>
  </sheetPr>
  <dimension ref="B1:J22"/>
  <sheetViews>
    <sheetView showGridLines="0" showZeros="0" zoomScaleNormal="100" workbookViewId="0">
      <selection activeCell="J3" sqref="J3"/>
    </sheetView>
  </sheetViews>
  <sheetFormatPr defaultColWidth="9" defaultRowHeight="21" customHeight="1" x14ac:dyDescent="0.3"/>
  <cols>
    <col min="1" max="1" width="1.25" style="1" customWidth="1"/>
    <col min="2" max="2" width="8.75" style="2" customWidth="1"/>
    <col min="3" max="3" width="15" style="2" customWidth="1"/>
    <col min="4" max="4" width="10" style="2" customWidth="1"/>
    <col min="5" max="5" width="10.625" style="7" customWidth="1"/>
    <col min="6" max="6" width="12.5" style="8" customWidth="1"/>
    <col min="7" max="7" width="8.75" style="2" customWidth="1"/>
    <col min="8" max="8" width="12.5" style="8" customWidth="1"/>
    <col min="9" max="9" width="11.75" style="2" customWidth="1"/>
    <col min="10" max="10" width="21.25" style="1" customWidth="1"/>
    <col min="11" max="16384" width="9" style="1"/>
  </cols>
  <sheetData>
    <row r="1" spans="2:10" ht="37.5" customHeight="1" x14ac:dyDescent="0.3">
      <c r="B1" s="9" t="s">
        <v>25</v>
      </c>
      <c r="C1" s="1"/>
      <c r="D1" s="1"/>
      <c r="E1" s="1"/>
      <c r="F1" s="1"/>
      <c r="G1" s="1"/>
      <c r="H1" s="1"/>
      <c r="I1" s="1"/>
    </row>
    <row r="2" spans="2:10" ht="22.5" customHeight="1" thickBot="1" x14ac:dyDescent="0.35">
      <c r="B2" s="11" t="s">
        <v>7</v>
      </c>
      <c r="C2" s="11" t="s">
        <v>8</v>
      </c>
      <c r="D2" s="18" t="s">
        <v>9</v>
      </c>
      <c r="E2" s="11" t="s">
        <v>26</v>
      </c>
      <c r="F2" s="11" t="s">
        <v>95</v>
      </c>
      <c r="G2" s="11" t="s">
        <v>27</v>
      </c>
      <c r="H2" s="11" t="s">
        <v>28</v>
      </c>
      <c r="I2" s="11" t="s">
        <v>29</v>
      </c>
      <c r="J2" s="11" t="s">
        <v>24</v>
      </c>
    </row>
    <row r="3" spans="2:10" ht="21" customHeight="1" x14ac:dyDescent="0.3">
      <c r="B3" s="2" t="s">
        <v>291</v>
      </c>
      <c r="C3" s="2" t="s">
        <v>232</v>
      </c>
      <c r="D3" s="20" t="s">
        <v>241</v>
      </c>
      <c r="E3" s="7">
        <v>44931</v>
      </c>
      <c r="F3" s="8">
        <v>149856</v>
      </c>
      <c r="G3" s="2">
        <v>3</v>
      </c>
      <c r="I3" s="2">
        <v>2022</v>
      </c>
    </row>
    <row r="4" spans="2:10" ht="21" customHeight="1" x14ac:dyDescent="0.3">
      <c r="D4" s="20"/>
    </row>
    <row r="5" spans="2:10" ht="21" customHeight="1" x14ac:dyDescent="0.3">
      <c r="D5" s="20"/>
    </row>
    <row r="6" spans="2:10" ht="21" customHeight="1" x14ac:dyDescent="0.3">
      <c r="D6" s="20"/>
    </row>
    <row r="7" spans="2:10" ht="21" customHeight="1" x14ac:dyDescent="0.3">
      <c r="D7" s="20"/>
    </row>
    <row r="8" spans="2:10" ht="21" customHeight="1" x14ac:dyDescent="0.3">
      <c r="D8" s="20"/>
    </row>
    <row r="9" spans="2:10" ht="21" customHeight="1" x14ac:dyDescent="0.3">
      <c r="D9" s="20"/>
    </row>
    <row r="10" spans="2:10" ht="21" customHeight="1" x14ac:dyDescent="0.3">
      <c r="D10" s="20"/>
    </row>
    <row r="11" spans="2:10" ht="21" customHeight="1" x14ac:dyDescent="0.3">
      <c r="D11" s="20"/>
    </row>
    <row r="12" spans="2:10" ht="21" customHeight="1" x14ac:dyDescent="0.3">
      <c r="D12" s="20"/>
    </row>
    <row r="13" spans="2:10" ht="21" customHeight="1" x14ac:dyDescent="0.3">
      <c r="D13" s="20"/>
    </row>
    <row r="14" spans="2:10" ht="21" customHeight="1" x14ac:dyDescent="0.3">
      <c r="D14" s="20"/>
    </row>
    <row r="15" spans="2:10" ht="21" customHeight="1" x14ac:dyDescent="0.3">
      <c r="D15" s="20"/>
    </row>
    <row r="16" spans="2:10" ht="21" customHeight="1" x14ac:dyDescent="0.3">
      <c r="D16" s="20"/>
    </row>
    <row r="17" spans="4:4" ht="21" customHeight="1" x14ac:dyDescent="0.3">
      <c r="D17" s="20"/>
    </row>
    <row r="18" spans="4:4" ht="21" customHeight="1" x14ac:dyDescent="0.3">
      <c r="D18" s="20"/>
    </row>
    <row r="19" spans="4:4" ht="21" customHeight="1" x14ac:dyDescent="0.3">
      <c r="D19" s="20"/>
    </row>
    <row r="20" spans="4:4" ht="21" customHeight="1" x14ac:dyDescent="0.3">
      <c r="D20" s="20"/>
    </row>
    <row r="21" spans="4:4" ht="21" customHeight="1" x14ac:dyDescent="0.3">
      <c r="D21" s="20"/>
    </row>
    <row r="22" spans="4:4" ht="21" customHeight="1" x14ac:dyDescent="0.3">
      <c r="D22" s="20"/>
    </row>
  </sheetData>
  <sortState xmlns:xlrd2="http://schemas.microsoft.com/office/spreadsheetml/2017/richdata2" ref="B3:J12">
    <sortCondition ref="E2"/>
  </sortState>
  <phoneticPr fontId="2" type="noConversion"/>
  <dataValidations count="1">
    <dataValidation type="list" allowBlank="1" showInputMessage="1" showErrorMessage="1" sqref="I3:I22" xr:uid="{62FCE670-1B1B-4283-B75C-FE0447D237C9}">
      <formula1>List_Y</formula1>
    </dataValidation>
  </dataValidations>
  <printOptions horizontalCentered="1"/>
  <pageMargins left="0.39370078740157483" right="0.39370078740157483" top="0.39370078740157483" bottom="0.39370078740157483" header="0" footer="0"/>
  <pageSetup paperSize="9" scale="79" orientation="portrait" horizontalDpi="1200" verticalDpi="12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13C27-CDDC-4B3A-92A5-278B945CD2C2}">
  <sheetPr codeName="Sheet99"/>
  <dimension ref="A1:CF94"/>
  <sheetViews>
    <sheetView showGridLines="0" topLeftCell="A48" workbookViewId="0">
      <selection activeCell="A64" sqref="A64"/>
    </sheetView>
  </sheetViews>
  <sheetFormatPr defaultColWidth="9" defaultRowHeight="12" x14ac:dyDescent="0.3"/>
  <cols>
    <col min="1" max="1" width="11.125" style="3" bestFit="1" customWidth="1"/>
    <col min="2" max="2" width="9.75" style="3" bestFit="1" customWidth="1"/>
    <col min="3" max="4" width="9" style="3"/>
    <col min="5" max="5" width="8.75" style="3" customWidth="1"/>
    <col min="6" max="6" width="15" style="3" customWidth="1"/>
    <col min="7" max="7" width="10" style="3" customWidth="1"/>
    <col min="8" max="8" width="10.625" style="31" customWidth="1"/>
    <col min="9" max="9" width="11.875" style="32" customWidth="1"/>
    <col min="10" max="10" width="9" style="31"/>
    <col min="11" max="16384" width="9" style="3"/>
  </cols>
  <sheetData>
    <row r="1" spans="1:84" x14ac:dyDescent="0.3">
      <c r="A1" s="175">
        <v>2026</v>
      </c>
      <c r="B1" s="6"/>
      <c r="C1" s="5" t="str">
        <f>HOME!$B$6</f>
        <v>*성명</v>
      </c>
      <c r="D1" s="5"/>
      <c r="E1" s="5" t="str">
        <f>HOME!$B$6</f>
        <v>*성명</v>
      </c>
      <c r="F1" s="5" t="str">
        <f>HOME!$C$6</f>
        <v>부서</v>
      </c>
      <c r="G1" s="5" t="str">
        <f>HOME!$D$6</f>
        <v>직위</v>
      </c>
      <c r="H1" s="5" t="str">
        <f>HOME!$E$6</f>
        <v>*입사일</v>
      </c>
      <c r="I1" s="31" t="str">
        <f>HOME!$F$6</f>
        <v>통상임금(월)</v>
      </c>
      <c r="J1" s="5" t="str">
        <f>HOME!$G$6</f>
        <v>퇴사일</v>
      </c>
      <c r="AA1" s="3" t="b">
        <v>1</v>
      </c>
      <c r="AB1" s="3" t="s">
        <v>190</v>
      </c>
      <c r="AC1" s="3" t="s">
        <v>206</v>
      </c>
      <c r="CA1" s="3" t="s">
        <v>163</v>
      </c>
    </row>
    <row r="2" spans="1:84" x14ac:dyDescent="0.3">
      <c r="A2" s="3">
        <v>2010</v>
      </c>
      <c r="C2" s="3" t="s">
        <v>353</v>
      </c>
      <c r="E2" s="13" t="s">
        <v>354</v>
      </c>
      <c r="F2" s="13" t="s">
        <v>290</v>
      </c>
      <c r="G2" s="13" t="s">
        <v>246</v>
      </c>
      <c r="H2" s="7">
        <v>45446</v>
      </c>
      <c r="I2" s="204"/>
      <c r="J2" s="143"/>
      <c r="AA2" s="3" t="s">
        <v>210</v>
      </c>
      <c r="AB2" s="6">
        <v>46388</v>
      </c>
      <c r="CA2" s="5">
        <f>연간현황!B4</f>
        <v>2024</v>
      </c>
      <c r="CB2" s="3" t="str">
        <f>연간현황!C4</f>
        <v>한윤호</v>
      </c>
    </row>
    <row r="3" spans="1:84" x14ac:dyDescent="0.3">
      <c r="A3" s="3">
        <v>2011</v>
      </c>
      <c r="E3" s="13"/>
      <c r="F3" s="13"/>
      <c r="G3" s="13"/>
      <c r="H3" s="7"/>
      <c r="I3" s="204"/>
      <c r="J3" s="143"/>
      <c r="AB3" s="6">
        <v>46204</v>
      </c>
      <c r="CA3" s="90" t="s">
        <v>186</v>
      </c>
    </row>
    <row r="4" spans="1:84" x14ac:dyDescent="0.3">
      <c r="A4" s="3">
        <v>2012</v>
      </c>
      <c r="B4" s="6"/>
      <c r="AB4" s="6">
        <v>46213</v>
      </c>
      <c r="CA4" s="5" t="s">
        <v>164</v>
      </c>
      <c r="CB4" s="3" t="s">
        <v>166</v>
      </c>
      <c r="CC4" s="3" t="s">
        <v>165</v>
      </c>
      <c r="CD4" s="3" t="s">
        <v>184</v>
      </c>
      <c r="CF4" s="3" t="s">
        <v>187</v>
      </c>
    </row>
    <row r="5" spans="1:84" x14ac:dyDescent="0.3">
      <c r="A5" s="3">
        <v>2013</v>
      </c>
      <c r="AB5" s="6">
        <v>46326</v>
      </c>
      <c r="CA5" s="5">
        <f>기본설정!C2</f>
        <v>1</v>
      </c>
      <c r="CB5" s="132">
        <f>연간현황!AH18</f>
        <v>1</v>
      </c>
      <c r="CC5" s="5">
        <f>IF(CB5=0,NA(),CB5)</f>
        <v>1</v>
      </c>
      <c r="CD5" s="132">
        <f>CC5-CB5</f>
        <v>0</v>
      </c>
      <c r="CE5" s="5"/>
      <c r="CF5" s="5">
        <f>연간현황!Z4</f>
        <v>11</v>
      </c>
    </row>
    <row r="6" spans="1:84" x14ac:dyDescent="0.3">
      <c r="A6" s="3">
        <v>2014</v>
      </c>
      <c r="CA6" s="5">
        <f>IF(CA5=12,1,CA5+1)</f>
        <v>2</v>
      </c>
      <c r="CB6" s="132">
        <f>연간현황!AH19</f>
        <v>1</v>
      </c>
      <c r="CC6" s="5">
        <f>IF(OR(CB6=0,SUM($CB$5:CB6)=0),NA(),SUM($CB$5:CB6))</f>
        <v>2</v>
      </c>
      <c r="CD6" s="132">
        <f t="shared" ref="CD6:CD16" si="0">CC6-CB6</f>
        <v>1</v>
      </c>
      <c r="CE6" s="5"/>
      <c r="CF6" s="5">
        <f>MAX(연간현황!R4-연간현황!Z4,0)</f>
        <v>4</v>
      </c>
    </row>
    <row r="7" spans="1:84" x14ac:dyDescent="0.3">
      <c r="A7" s="3">
        <v>2015</v>
      </c>
      <c r="CA7" s="5">
        <f t="shared" ref="CA7:CA16" si="1">IF(CA6=12,1,CA6+1)</f>
        <v>3</v>
      </c>
      <c r="CB7" s="132">
        <f>연간현황!AH20</f>
        <v>1</v>
      </c>
      <c r="CC7" s="5">
        <f>IF(OR(CB7=0,SUM($CB$5:CB7)=0),NA(),SUM($CB$5:CB7))</f>
        <v>3</v>
      </c>
      <c r="CD7" s="132">
        <f t="shared" si="0"/>
        <v>2</v>
      </c>
      <c r="CE7" s="5"/>
      <c r="CF7" s="5"/>
    </row>
    <row r="8" spans="1:84" x14ac:dyDescent="0.3">
      <c r="A8" s="3">
        <v>2016</v>
      </c>
      <c r="CA8" s="5">
        <f t="shared" si="1"/>
        <v>4</v>
      </c>
      <c r="CB8" s="132">
        <f>연간현황!AH21</f>
        <v>2</v>
      </c>
      <c r="CC8" s="5">
        <f>IF(OR(CB8=0,SUM($CB$5:CB8)=0),NA(),SUM($CB$5:CB8))</f>
        <v>5</v>
      </c>
      <c r="CD8" s="132">
        <f t="shared" si="0"/>
        <v>3</v>
      </c>
      <c r="CE8" s="5"/>
      <c r="CF8" s="5"/>
    </row>
    <row r="9" spans="1:84" x14ac:dyDescent="0.3">
      <c r="A9" s="3">
        <v>2017</v>
      </c>
      <c r="CA9" s="5">
        <f t="shared" si="1"/>
        <v>5</v>
      </c>
      <c r="CB9" s="132">
        <f>연간현황!AH22</f>
        <v>0</v>
      </c>
      <c r="CC9" s="5" t="e">
        <f>IF(OR(CB9=0,SUM($CB$5:CB9)=0),NA(),SUM($CB$5:CB9))</f>
        <v>#N/A</v>
      </c>
      <c r="CD9" s="132" t="e">
        <f t="shared" si="0"/>
        <v>#N/A</v>
      </c>
      <c r="CE9" s="5"/>
      <c r="CF9" s="5"/>
    </row>
    <row r="10" spans="1:84" x14ac:dyDescent="0.3">
      <c r="A10" s="3">
        <v>2018</v>
      </c>
      <c r="CA10" s="5">
        <f t="shared" si="1"/>
        <v>6</v>
      </c>
      <c r="CB10" s="132">
        <f>연간현황!AH23</f>
        <v>0</v>
      </c>
      <c r="CC10" s="5" t="e">
        <f>IF(OR(CB10=0,SUM($CB$5:CB10)=0),NA(),SUM($CB$5:CB10))</f>
        <v>#N/A</v>
      </c>
      <c r="CD10" s="132" t="e">
        <f t="shared" si="0"/>
        <v>#N/A</v>
      </c>
      <c r="CE10" s="5"/>
      <c r="CF10" s="5"/>
    </row>
    <row r="11" spans="1:84" x14ac:dyDescent="0.3">
      <c r="A11" s="3">
        <v>2019</v>
      </c>
      <c r="CA11" s="5">
        <f t="shared" si="1"/>
        <v>7</v>
      </c>
      <c r="CB11" s="132">
        <f>연간현황!AH24</f>
        <v>0</v>
      </c>
      <c r="CC11" s="5" t="e">
        <f>IF(OR(CB11=0,SUM($CB$5:CB11)=0),NA(),SUM($CB$5:CB11))</f>
        <v>#N/A</v>
      </c>
      <c r="CD11" s="132" t="e">
        <f t="shared" si="0"/>
        <v>#N/A</v>
      </c>
      <c r="CE11" s="5"/>
      <c r="CF11" s="5"/>
    </row>
    <row r="12" spans="1:84" x14ac:dyDescent="0.3">
      <c r="A12" s="3">
        <v>2020</v>
      </c>
      <c r="CA12" s="5">
        <f t="shared" si="1"/>
        <v>8</v>
      </c>
      <c r="CB12" s="132">
        <f>연간현황!AH25</f>
        <v>5</v>
      </c>
      <c r="CC12" s="5">
        <f>IF(OR(CB12=0,SUM($CB$5:CB12)=0),NA(),SUM($CB$5:CB12))</f>
        <v>10</v>
      </c>
      <c r="CD12" s="132">
        <f t="shared" si="0"/>
        <v>5</v>
      </c>
      <c r="CE12" s="5"/>
      <c r="CF12" s="5"/>
    </row>
    <row r="13" spans="1:84" x14ac:dyDescent="0.3">
      <c r="A13" s="3">
        <v>2021</v>
      </c>
      <c r="CA13" s="5">
        <f t="shared" si="1"/>
        <v>9</v>
      </c>
      <c r="CB13" s="132">
        <f>연간현황!AH26</f>
        <v>0</v>
      </c>
      <c r="CC13" s="5" t="e">
        <f>IF(OR(CB13=0,SUM($CB$5:CB13)=0),NA(),SUM($CB$5:CB13))</f>
        <v>#N/A</v>
      </c>
      <c r="CD13" s="132" t="e">
        <f t="shared" si="0"/>
        <v>#N/A</v>
      </c>
      <c r="CE13" s="5"/>
      <c r="CF13" s="5"/>
    </row>
    <row r="14" spans="1:84" x14ac:dyDescent="0.3">
      <c r="A14" s="3">
        <v>2022</v>
      </c>
      <c r="CA14" s="5">
        <f t="shared" si="1"/>
        <v>10</v>
      </c>
      <c r="CB14" s="132">
        <f>연간현황!AH27</f>
        <v>1</v>
      </c>
      <c r="CC14" s="5">
        <f>IF(OR(CB14=0,SUM($CB$5:CB14)=0),NA(),SUM($CB$5:CB14))</f>
        <v>11</v>
      </c>
      <c r="CD14" s="132">
        <f t="shared" si="0"/>
        <v>10</v>
      </c>
      <c r="CE14" s="5"/>
      <c r="CF14" s="5"/>
    </row>
    <row r="15" spans="1:84" x14ac:dyDescent="0.3">
      <c r="A15" s="3">
        <v>2023</v>
      </c>
      <c r="CA15" s="5">
        <f t="shared" si="1"/>
        <v>11</v>
      </c>
      <c r="CB15" s="132">
        <f>연간현황!AH28</f>
        <v>0</v>
      </c>
      <c r="CC15" s="5" t="e">
        <f>IF(OR(CB15=0,SUM($CB$5:CB15)=0),NA(),SUM($CB$5:CB15))</f>
        <v>#N/A</v>
      </c>
      <c r="CD15" s="132" t="e">
        <f t="shared" si="0"/>
        <v>#N/A</v>
      </c>
      <c r="CE15" s="5"/>
      <c r="CF15" s="5"/>
    </row>
    <row r="16" spans="1:84" x14ac:dyDescent="0.3">
      <c r="A16" s="3">
        <v>2024</v>
      </c>
      <c r="CA16" s="5">
        <f t="shared" si="1"/>
        <v>12</v>
      </c>
      <c r="CB16" s="132">
        <f>연간현황!AH29</f>
        <v>0</v>
      </c>
      <c r="CC16" s="5" t="e">
        <f>IF(OR(CB16=0,SUM($CB$5:CB16)=0),NA(),SUM($CB$5:CB16))</f>
        <v>#N/A</v>
      </c>
      <c r="CD16" s="132" t="e">
        <f t="shared" si="0"/>
        <v>#N/A</v>
      </c>
      <c r="CE16" s="5"/>
      <c r="CF16" s="5"/>
    </row>
    <row r="17" spans="1:81" x14ac:dyDescent="0.3">
      <c r="A17" s="3">
        <v>2025</v>
      </c>
    </row>
    <row r="18" spans="1:81" x14ac:dyDescent="0.3">
      <c r="A18" s="3">
        <v>2026</v>
      </c>
      <c r="CA18" s="5" t="s">
        <v>167</v>
      </c>
      <c r="CB18" s="5"/>
    </row>
    <row r="19" spans="1:81" x14ac:dyDescent="0.3">
      <c r="A19" s="3">
        <v>2027</v>
      </c>
      <c r="CA19" s="5" t="s">
        <v>168</v>
      </c>
      <c r="CB19" s="133">
        <f>IF(CC19=0,NA(),IFERROR(CC19/(SUM($CC$19:$CC$25)),0))</f>
        <v>0.36363636363636365</v>
      </c>
      <c r="CC19" s="5">
        <v>4</v>
      </c>
    </row>
    <row r="20" spans="1:81" x14ac:dyDescent="0.3">
      <c r="A20" s="3">
        <v>2028</v>
      </c>
      <c r="CA20" s="5" t="s">
        <v>169</v>
      </c>
      <c r="CB20" s="133">
        <f t="shared" ref="CB20:CB25" si="2">IF(CC20=0,NA(),IFERROR(CC20/(SUM($CC$19:$CC$25)),0))</f>
        <v>0.22727272727272727</v>
      </c>
      <c r="CC20" s="5">
        <v>2.5</v>
      </c>
    </row>
    <row r="21" spans="1:81" x14ac:dyDescent="0.3">
      <c r="A21" s="3">
        <v>2029</v>
      </c>
      <c r="CA21" s="5" t="s">
        <v>170</v>
      </c>
      <c r="CB21" s="133">
        <f t="shared" si="2"/>
        <v>9.0909090909090912E-2</v>
      </c>
      <c r="CC21" s="5">
        <v>1</v>
      </c>
    </row>
    <row r="22" spans="1:81" x14ac:dyDescent="0.3">
      <c r="A22" s="3">
        <v>2030</v>
      </c>
      <c r="CA22" s="5" t="s">
        <v>171</v>
      </c>
      <c r="CB22" s="133">
        <f t="shared" si="2"/>
        <v>9.0909090909090912E-2</v>
      </c>
      <c r="CC22" s="5">
        <v>1</v>
      </c>
    </row>
    <row r="23" spans="1:81" x14ac:dyDescent="0.3">
      <c r="A23" s="3">
        <v>2031</v>
      </c>
      <c r="CA23" s="5" t="s">
        <v>172</v>
      </c>
      <c r="CB23" s="133">
        <f t="shared" si="2"/>
        <v>0.22727272727272727</v>
      </c>
      <c r="CC23" s="5">
        <v>2.5</v>
      </c>
    </row>
    <row r="24" spans="1:81" x14ac:dyDescent="0.3">
      <c r="A24" s="3">
        <v>2032</v>
      </c>
      <c r="CA24" s="5" t="s">
        <v>173</v>
      </c>
      <c r="CB24" s="133" t="e">
        <f t="shared" si="2"/>
        <v>#N/A</v>
      </c>
      <c r="CC24" s="5">
        <v>0</v>
      </c>
    </row>
    <row r="25" spans="1:81" x14ac:dyDescent="0.3">
      <c r="A25" s="3">
        <v>2033</v>
      </c>
      <c r="CA25" s="5" t="s">
        <v>174</v>
      </c>
      <c r="CB25" s="133" t="e">
        <f t="shared" si="2"/>
        <v>#N/A</v>
      </c>
      <c r="CC25" s="5">
        <v>0</v>
      </c>
    </row>
    <row r="26" spans="1:81" x14ac:dyDescent="0.3">
      <c r="A26" s="3">
        <v>2034</v>
      </c>
    </row>
    <row r="27" spans="1:81" x14ac:dyDescent="0.3">
      <c r="A27" s="3">
        <v>2035</v>
      </c>
    </row>
    <row r="28" spans="1:81" x14ac:dyDescent="0.3">
      <c r="A28" s="3">
        <v>2036</v>
      </c>
    </row>
    <row r="29" spans="1:81" x14ac:dyDescent="0.3">
      <c r="A29" s="3">
        <v>2037</v>
      </c>
    </row>
    <row r="30" spans="1:81" x14ac:dyDescent="0.3">
      <c r="A30" s="3">
        <v>2038</v>
      </c>
    </row>
    <row r="31" spans="1:81" x14ac:dyDescent="0.3">
      <c r="A31" s="3">
        <v>2039</v>
      </c>
    </row>
    <row r="32" spans="1:81" x14ac:dyDescent="0.3">
      <c r="A32" s="3">
        <v>2040</v>
      </c>
    </row>
    <row r="33" spans="1:1" x14ac:dyDescent="0.3">
      <c r="A33" s="3">
        <v>2041</v>
      </c>
    </row>
    <row r="34" spans="1:1" x14ac:dyDescent="0.3">
      <c r="A34" s="3">
        <v>2042</v>
      </c>
    </row>
    <row r="35" spans="1:1" x14ac:dyDescent="0.3">
      <c r="A35" s="3">
        <v>2043</v>
      </c>
    </row>
    <row r="36" spans="1:1" x14ac:dyDescent="0.3">
      <c r="A36" s="3">
        <v>2044</v>
      </c>
    </row>
    <row r="37" spans="1:1" x14ac:dyDescent="0.3">
      <c r="A37" s="3">
        <v>2045</v>
      </c>
    </row>
    <row r="38" spans="1:1" x14ac:dyDescent="0.3">
      <c r="A38" s="3">
        <v>2046</v>
      </c>
    </row>
    <row r="39" spans="1:1" x14ac:dyDescent="0.3">
      <c r="A39" s="3">
        <v>2047</v>
      </c>
    </row>
    <row r="40" spans="1:1" x14ac:dyDescent="0.3">
      <c r="A40" s="3">
        <v>2048</v>
      </c>
    </row>
    <row r="41" spans="1:1" x14ac:dyDescent="0.3">
      <c r="A41" s="3">
        <v>2049</v>
      </c>
    </row>
    <row r="42" spans="1:1" x14ac:dyDescent="0.3">
      <c r="A42" s="3">
        <v>2050</v>
      </c>
    </row>
    <row r="43" spans="1:1" x14ac:dyDescent="0.3">
      <c r="A43" s="3">
        <v>1</v>
      </c>
    </row>
    <row r="44" spans="1:1" x14ac:dyDescent="0.3">
      <c r="A44" s="3">
        <v>2</v>
      </c>
    </row>
    <row r="45" spans="1:1" x14ac:dyDescent="0.3">
      <c r="A45" s="3">
        <v>3</v>
      </c>
    </row>
    <row r="46" spans="1:1" x14ac:dyDescent="0.3">
      <c r="A46" s="3">
        <v>4</v>
      </c>
    </row>
    <row r="47" spans="1:1" x14ac:dyDescent="0.3">
      <c r="A47" s="3">
        <v>5</v>
      </c>
    </row>
    <row r="48" spans="1:1" x14ac:dyDescent="0.3">
      <c r="A48" s="3">
        <v>6</v>
      </c>
    </row>
    <row r="49" spans="1:1" x14ac:dyDescent="0.3">
      <c r="A49" s="3">
        <v>7</v>
      </c>
    </row>
    <row r="50" spans="1:1" x14ac:dyDescent="0.3">
      <c r="A50" s="3">
        <v>8</v>
      </c>
    </row>
    <row r="51" spans="1:1" x14ac:dyDescent="0.3">
      <c r="A51" s="3">
        <v>9</v>
      </c>
    </row>
    <row r="52" spans="1:1" x14ac:dyDescent="0.3">
      <c r="A52" s="3">
        <v>10</v>
      </c>
    </row>
    <row r="53" spans="1:1" x14ac:dyDescent="0.3">
      <c r="A53" s="3">
        <v>11</v>
      </c>
    </row>
    <row r="54" spans="1:1" x14ac:dyDescent="0.3">
      <c r="A54" s="3">
        <v>12</v>
      </c>
    </row>
    <row r="56" spans="1:1" x14ac:dyDescent="0.3">
      <c r="A56" s="3" t="s">
        <v>96</v>
      </c>
    </row>
    <row r="57" spans="1:1" x14ac:dyDescent="0.3">
      <c r="A57" s="6">
        <v>46057</v>
      </c>
    </row>
    <row r="58" spans="1:1" x14ac:dyDescent="0.3">
      <c r="A58" s="3" t="s">
        <v>98</v>
      </c>
    </row>
    <row r="59" spans="1:1" x14ac:dyDescent="0.3">
      <c r="A59" s="3">
        <v>1102</v>
      </c>
    </row>
    <row r="60" spans="1:1" x14ac:dyDescent="0.3">
      <c r="A60" s="3" t="s">
        <v>99</v>
      </c>
    </row>
    <row r="61" spans="1:1" x14ac:dyDescent="0.3">
      <c r="A61" s="3">
        <v>1</v>
      </c>
    </row>
    <row r="62" spans="1:1" x14ac:dyDescent="0.3">
      <c r="A62" s="3" t="s">
        <v>100</v>
      </c>
    </row>
    <row r="63" spans="1:1" x14ac:dyDescent="0.3">
      <c r="A63" s="3">
        <v>83</v>
      </c>
    </row>
    <row r="64" spans="1:1" x14ac:dyDescent="0.3">
      <c r="A64" s="3">
        <f>IF(HOME!K3="휴가+연차",3,4)</f>
        <v>4</v>
      </c>
    </row>
    <row r="65" spans="1:2" x14ac:dyDescent="0.3">
      <c r="A65" s="3" t="s">
        <v>101</v>
      </c>
      <c r="B65" s="3">
        <v>1</v>
      </c>
    </row>
    <row r="66" spans="1:2" x14ac:dyDescent="0.3">
      <c r="A66" s="3" t="s">
        <v>102</v>
      </c>
    </row>
    <row r="67" spans="1:2" x14ac:dyDescent="0.3">
      <c r="A67" s="3" t="s">
        <v>103</v>
      </c>
    </row>
    <row r="69" spans="1:2" x14ac:dyDescent="0.3">
      <c r="A69" s="3" t="s">
        <v>145</v>
      </c>
    </row>
    <row r="70" spans="1:2" x14ac:dyDescent="0.3">
      <c r="A70" s="6">
        <v>45159</v>
      </c>
      <c r="B70" s="6">
        <v>44197</v>
      </c>
    </row>
    <row r="71" spans="1:2" x14ac:dyDescent="0.3">
      <c r="A71" s="6"/>
    </row>
    <row r="72" spans="1:2" x14ac:dyDescent="0.3">
      <c r="A72" s="6" t="s">
        <v>104</v>
      </c>
    </row>
    <row r="73" spans="1:2" x14ac:dyDescent="0.3">
      <c r="A73" s="3">
        <v>1</v>
      </c>
    </row>
    <row r="74" spans="1:2" x14ac:dyDescent="0.3">
      <c r="A74" s="3">
        <v>1</v>
      </c>
    </row>
    <row r="76" spans="1:2" x14ac:dyDescent="0.3">
      <c r="A76" s="3" t="s">
        <v>146</v>
      </c>
    </row>
    <row r="77" spans="1:2" x14ac:dyDescent="0.3">
      <c r="A77" s="6">
        <v>44197</v>
      </c>
    </row>
    <row r="79" spans="1:2" x14ac:dyDescent="0.3">
      <c r="A79" s="3" t="s">
        <v>147</v>
      </c>
    </row>
    <row r="80" spans="1:2" x14ac:dyDescent="0.3">
      <c r="A80" s="6">
        <v>45916</v>
      </c>
    </row>
    <row r="81" spans="1:2" x14ac:dyDescent="0.3">
      <c r="A81" s="3" t="s">
        <v>151</v>
      </c>
    </row>
    <row r="82" spans="1:2" x14ac:dyDescent="0.3">
      <c r="A82" s="6">
        <v>45916</v>
      </c>
    </row>
    <row r="83" spans="1:2" x14ac:dyDescent="0.3">
      <c r="A83" s="6"/>
    </row>
    <row r="84" spans="1:2" x14ac:dyDescent="0.3">
      <c r="A84" s="3" t="s">
        <v>160</v>
      </c>
    </row>
    <row r="85" spans="1:2" x14ac:dyDescent="0.3">
      <c r="A85" s="3">
        <v>2</v>
      </c>
    </row>
    <row r="87" spans="1:2" x14ac:dyDescent="0.3">
      <c r="A87" s="3" t="s">
        <v>188</v>
      </c>
    </row>
    <row r="88" spans="1:2" x14ac:dyDescent="0.3">
      <c r="A88" s="3">
        <v>1</v>
      </c>
    </row>
    <row r="90" spans="1:2" x14ac:dyDescent="0.3">
      <c r="A90" s="3" t="s">
        <v>189</v>
      </c>
    </row>
    <row r="91" spans="1:2" x14ac:dyDescent="0.3">
      <c r="A91" s="6"/>
      <c r="B91" s="6"/>
    </row>
    <row r="92" spans="1:2" x14ac:dyDescent="0.3">
      <c r="A92" s="6"/>
    </row>
    <row r="93" spans="1:2" x14ac:dyDescent="0.3">
      <c r="A93" s="6"/>
    </row>
    <row r="94" spans="1:2" x14ac:dyDescent="0.3">
      <c r="A94" s="6"/>
      <c r="B94" s="6"/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42131EE-62D9-424D-A725-0659785720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18</vt:i4>
      </vt:variant>
    </vt:vector>
  </HeadingPairs>
  <TitlesOfParts>
    <vt:vector size="29" baseType="lpstr">
      <vt:lpstr>기본설정</vt:lpstr>
      <vt:lpstr>HOME</vt:lpstr>
      <vt:lpstr>DB_연차추가공제</vt:lpstr>
      <vt:lpstr>DB_휴가사용</vt:lpstr>
      <vt:lpstr>사원별현황</vt:lpstr>
      <vt:lpstr>연차정산서</vt:lpstr>
      <vt:lpstr>연간현황</vt:lpstr>
      <vt:lpstr>연차촉진통지서</vt:lpstr>
      <vt:lpstr>지정통보서</vt:lpstr>
      <vt:lpstr>사용계획서(근로자용)</vt:lpstr>
      <vt:lpstr>DB_연차수당지급</vt:lpstr>
      <vt:lpstr>setting!Criteria</vt:lpstr>
      <vt:lpstr>setting!Extract</vt:lpstr>
      <vt:lpstr>List_M</vt:lpstr>
      <vt:lpstr>List_Y</vt:lpstr>
      <vt:lpstr>DB_연차수당지급!Print_Area</vt:lpstr>
      <vt:lpstr>DB_연차추가공제!Print_Area</vt:lpstr>
      <vt:lpstr>DB_휴가사용!Print_Area</vt:lpstr>
      <vt:lpstr>HOME!Print_Area</vt:lpstr>
      <vt:lpstr>'사용계획서(근로자용)'!Print_Area</vt:lpstr>
      <vt:lpstr>사원별현황!Print_Area</vt:lpstr>
      <vt:lpstr>연간현황!Print_Area</vt:lpstr>
      <vt:lpstr>연차정산서!Print_Area</vt:lpstr>
      <vt:lpstr>지정통보서!Print_Area</vt:lpstr>
      <vt:lpstr>DB_연차수당지급!Print_Titles</vt:lpstr>
      <vt:lpstr>DB_연차추가공제!Print_Titles</vt:lpstr>
      <vt:lpstr>DB_휴가사용!Print_Titles</vt:lpstr>
      <vt:lpstr>사원별현황!Print_Titles</vt:lpstr>
      <vt:lpstr>연차정산서!Print_Titles</vt:lpstr>
    </vt:vector>
  </TitlesOfParts>
  <Manager>워크시트(WORKSHEETS)</Manager>
  <Company>워크시트(WORKSHEETS)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[워크시트] 휴가/연차관리 엑셀프로그램</dc:title>
  <dc:subject>휴가/연차관리 엑셀프로그램</dc:subject>
  <dc:creator>워크시트(WORKSHEETS)</dc:creator>
  <cp:lastModifiedBy>NAMKW</cp:lastModifiedBy>
  <cp:lastPrinted>2023-09-05T01:05:54Z</cp:lastPrinted>
  <dcterms:created xsi:type="dcterms:W3CDTF">2020-08-24T06:09:56Z</dcterms:created>
  <dcterms:modified xsi:type="dcterms:W3CDTF">2026-03-04T08:04:38Z</dcterms:modified>
</cp:coreProperties>
</file>