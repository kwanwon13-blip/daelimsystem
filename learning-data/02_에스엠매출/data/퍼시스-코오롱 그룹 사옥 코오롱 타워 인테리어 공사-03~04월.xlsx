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안전" sheetId="1" state="visible" r:id="rId1"/>
    <sheet xmlns:r="http://schemas.openxmlformats.org/officeDocument/2006/relationships" name="잡자재" sheetId="2" state="visible" r:id="rId2"/>
  </sheets>
  <definedNames>
    <definedName name="_xlnm._FilterDatabase" localSheetId="0" hidden="1">'안전'!$A$12:$H$37</definedName>
    <definedName name="_xlnm.Print_Titles" localSheetId="0">'안전'!$12:$12</definedName>
    <definedName name="_xlnm.Print_Area" localSheetId="0">'안전'!$A$1:$H$37</definedName>
    <definedName name="_xlnm._FilterDatabase" localSheetId="1" hidden="1">'잡자재'!$A$12:$H$43</definedName>
    <definedName name="_xlnm.Print_Titles" localSheetId="1">'잡자재'!$12:$12</definedName>
    <definedName name="_xlnm.Print_Area" localSheetId="1">'잡자재'!$A$1:$H$43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);[Red]\(#,##0\)"/>
    <numFmt numFmtId="165" formatCode="m&quot;월&quot;\ d&quot;일&quot;;@"/>
    <numFmt numFmtId="166" formatCode="_-* #,##0_-;\-* #,##0_-;_-* &quot;-&quot;_-;_-@_-"/>
    <numFmt numFmtId="167" formatCode="yyyy-mm-dd"/>
  </numFmts>
  <fonts count="27">
    <font>
      <name val="MS Sans Serif"/>
      <color indexed="8"/>
      <sz val="10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돋움"/>
      <charset val="129"/>
      <family val="3"/>
      <b val="1"/>
      <sz val="14"/>
    </font>
    <font>
      <name val="돋움"/>
      <charset val="129"/>
      <family val="3"/>
      <b val="1"/>
      <color indexed="8"/>
      <sz val="12"/>
    </font>
    <font>
      <name val="돋움"/>
      <charset val="129"/>
      <family val="3"/>
      <color indexed="8"/>
      <sz val="12"/>
    </font>
    <font>
      <name val="돋움"/>
      <charset val="129"/>
      <family val="3"/>
      <color indexed="8"/>
      <sz val="14"/>
    </font>
    <font>
      <name val="MS Sans Serif"/>
      <color indexed="8"/>
      <sz val="14"/>
    </font>
    <font>
      <name val="돋움"/>
      <charset val="129"/>
      <family val="3"/>
      <b val="1"/>
      <color indexed="8"/>
      <sz val="14"/>
    </font>
    <font>
      <name val="돋움"/>
      <charset val="129"/>
      <family val="3"/>
      <b val="1"/>
      <color indexed="8"/>
      <sz val="11"/>
    </font>
    <font>
      <name val="MS Sans Serif"/>
      <color indexed="8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color theme="1"/>
      <sz val="11"/>
    </font>
    <font>
      <name val="돋움"/>
      <charset val="129"/>
      <family val="3"/>
      <b val="1"/>
      <sz val="28"/>
    </font>
    <font>
      <name val="MS Sans Serif"/>
      <color indexed="8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2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41" fontId="26" fillId="0" borderId="0" applyAlignment="1">
      <alignment vertical="center"/>
    </xf>
  </cellStyleXfs>
  <cellXfs count="7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6" fillId="0" borderId="0" applyAlignment="1" pivotButton="0" quotePrefix="0" xfId="0">
      <alignment vertical="center"/>
    </xf>
    <xf numFmtId="0" fontId="18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8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164" fontId="20" fillId="0" borderId="1" applyAlignment="1" pivotButton="0" quotePrefix="0" xfId="0">
      <alignment vertical="center"/>
    </xf>
    <xf numFmtId="0" fontId="20" fillId="0" borderId="2" applyAlignment="1" pivotButton="0" quotePrefix="0" xfId="0">
      <alignment vertical="center"/>
    </xf>
    <xf numFmtId="0" fontId="20" fillId="0" borderId="2" applyAlignment="1" pivotButton="0" quotePrefix="0" xfId="0">
      <alignment horizontal="center" vertical="center"/>
    </xf>
    <xf numFmtId="165" fontId="18" fillId="0" borderId="0" pivotButton="0" quotePrefix="0" xfId="0"/>
    <xf numFmtId="165" fontId="18" fillId="0" borderId="0" applyAlignment="1" pivotButton="0" quotePrefix="0" xfId="0">
      <alignment vertical="center"/>
    </xf>
    <xf numFmtId="165" fontId="20" fillId="0" borderId="2" applyAlignment="1" pivotButton="0" quotePrefix="0" xfId="0">
      <alignment vertical="center"/>
    </xf>
    <xf numFmtId="165" fontId="17" fillId="0" borderId="0" pivotButton="0" quotePrefix="0" xfId="0"/>
    <xf numFmtId="165" fontId="0" fillId="0" borderId="0" pivotButton="0" quotePrefix="0" xfId="0"/>
    <xf numFmtId="164" fontId="18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center"/>
    </xf>
    <xf numFmtId="164" fontId="0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164" fontId="21" fillId="2" borderId="2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2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7" fillId="0" borderId="2" applyAlignment="1" pivotButton="0" quotePrefix="0" xfId="13">
      <alignment vertical="center"/>
    </xf>
    <xf numFmtId="166" fontId="24" fillId="0" borderId="2" applyAlignment="1" pivotButton="0" quotePrefix="0" xfId="20">
      <alignment vertical="center"/>
    </xf>
    <xf numFmtId="166" fontId="23" fillId="0" borderId="2" applyAlignment="1" pivotButton="0" quotePrefix="0" xfId="20">
      <alignment vertical="center"/>
    </xf>
    <xf numFmtId="166" fontId="7" fillId="0" borderId="2" applyAlignment="1" pivotButton="0" quotePrefix="0" xfId="20">
      <alignment vertical="center"/>
    </xf>
    <xf numFmtId="0" fontId="20" fillId="0" borderId="2" applyAlignment="1" pivotButton="0" quotePrefix="0" xfId="0">
      <alignment horizontal="left" vertical="center"/>
    </xf>
    <xf numFmtId="0" fontId="20" fillId="0" borderId="3" applyAlignment="1" pivotButton="0" quotePrefix="0" xfId="0">
      <alignment horizontal="left" vertical="center"/>
    </xf>
    <xf numFmtId="0" fontId="20" fillId="0" borderId="4" applyAlignment="1" pivotButton="0" quotePrefix="0" xfId="0">
      <alignment horizontal="left" vertical="center"/>
    </xf>
    <xf numFmtId="0" fontId="20" fillId="0" borderId="5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165" fontId="20" fillId="2" borderId="2" applyAlignment="1" pivotButton="0" quotePrefix="0" xfId="0">
      <alignment horizontal="center" vertical="center" textRotation="255" wrapText="1"/>
    </xf>
    <xf numFmtId="0" fontId="15" fillId="0" borderId="3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/>
    </xf>
    <xf numFmtId="0" fontId="15" fillId="2" borderId="2" applyAlignment="1" pivotButton="0" quotePrefix="0" xfId="0">
      <alignment horizontal="center" vertical="center" textRotation="255"/>
    </xf>
    <xf numFmtId="0" fontId="15" fillId="0" borderId="2" applyAlignment="1" pivotButton="0" quotePrefix="0" xfId="0">
      <alignment horizontal="left" vertical="center"/>
    </xf>
    <xf numFmtId="14" fontId="7" fillId="0" borderId="3" applyAlignment="1" pivotButton="0" quotePrefix="0" xfId="13">
      <alignment horizontal="center" vertical="center"/>
    </xf>
    <xf numFmtId="14" fontId="7" fillId="0" borderId="5" applyAlignment="1" pivotButton="0" quotePrefix="0" xfId="13">
      <alignment horizontal="center" vertical="center"/>
    </xf>
    <xf numFmtId="165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4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164" fontId="21" fillId="2" borderId="3" applyAlignment="1" pivotButton="0" quotePrefix="0" xfId="0">
      <alignment horizontal="center" vertical="center"/>
    </xf>
    <xf numFmtId="164" fontId="21" fillId="2" borderId="5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5" fontId="18" fillId="0" borderId="0" pivotButton="0" quotePrefix="0" xfId="0"/>
    <xf numFmtId="165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0" fontId="0" fillId="0" borderId="1" pivotButton="0" quotePrefix="0" xfId="0"/>
    <xf numFmtId="164" fontId="20" fillId="0" borderId="1" applyAlignment="1" pivotButton="0" quotePrefix="0" xfId="0">
      <alignment vertical="center"/>
    </xf>
    <xf numFmtId="165" fontId="20" fillId="2" borderId="2" applyAlignment="1" pivotButton="0" quotePrefix="0" xfId="0">
      <alignment horizontal="center" vertical="center" textRotation="255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165" fontId="20" fillId="0" borderId="2" applyAlignment="1" pivotButton="0" quotePrefix="0" xfId="0">
      <alignment vertical="center"/>
    </xf>
    <xf numFmtId="165" fontId="21" fillId="2" borderId="2" applyAlignment="1" pivotButton="0" quotePrefix="0" xfId="0">
      <alignment horizontal="center" vertical="center"/>
    </xf>
    <xf numFmtId="164" fontId="21" fillId="2" borderId="2" applyAlignment="1" pivotButton="0" quotePrefix="0" xfId="0">
      <alignment horizontal="center" vertical="center"/>
    </xf>
    <xf numFmtId="167" fontId="7" fillId="0" borderId="2" applyAlignment="1" pivotButton="0" quotePrefix="0" xfId="13">
      <alignment horizontal="center" vertical="center"/>
    </xf>
    <xf numFmtId="166" fontId="23" fillId="0" borderId="2" applyAlignment="1" pivotButton="0" quotePrefix="0" xfId="20">
      <alignment vertical="center"/>
    </xf>
    <xf numFmtId="166" fontId="24" fillId="0" borderId="2" applyAlignment="1" pivotButton="0" quotePrefix="0" xfId="20">
      <alignment vertical="center"/>
    </xf>
    <xf numFmtId="14" fontId="7" fillId="0" borderId="2" applyAlignment="1" pivotButton="0" quotePrefix="0" xfId="13">
      <alignment horizontal="center" vertical="center"/>
    </xf>
    <xf numFmtId="165" fontId="17" fillId="0" borderId="0" pivotButton="0" quotePrefix="0" xfId="0"/>
    <xf numFmtId="164" fontId="16" fillId="0" borderId="0" applyAlignment="1" pivotButton="0" quotePrefix="0" xfId="0">
      <alignment horizontal="center"/>
    </xf>
    <xf numFmtId="164" fontId="16" fillId="0" borderId="0" applyAlignment="1" pivotButton="0" quotePrefix="0" xfId="0">
      <alignment vertical="center"/>
    </xf>
    <xf numFmtId="166" fontId="7" fillId="0" borderId="2" applyAlignment="1" pivotButton="0" quotePrefix="0" xfId="20">
      <alignment vertical="center"/>
    </xf>
  </cellXfs>
  <cellStyles count="21">
    <cellStyle name="표준" xfId="0" builtinId="0"/>
    <cellStyle name="표준 13" xfId="1"/>
    <cellStyle name="표준 14" xfId="2"/>
    <cellStyle name="표준 10" xfId="3"/>
    <cellStyle name="표준 9" xfId="4"/>
    <cellStyle name="표준 12" xfId="5"/>
    <cellStyle name="표준 11" xfId="6"/>
    <cellStyle name="표준 7" xfId="7"/>
    <cellStyle name="표준 2" xfId="8"/>
    <cellStyle name="표준 3" xfId="9"/>
    <cellStyle name="표준 4" xfId="10"/>
    <cellStyle name="표준 5" xfId="11"/>
    <cellStyle name="표준 8" xfId="12"/>
    <cellStyle name="표준 6" xfId="13"/>
    <cellStyle name="표준 15" xfId="14"/>
    <cellStyle name="표준 16" xfId="15"/>
    <cellStyle name="표준 17" xfId="16"/>
    <cellStyle name="표준 18" xfId="17"/>
    <cellStyle name="표준 19" xfId="18"/>
    <cellStyle name="표준 20" xfId="19"/>
    <cellStyle name="쉼표 [0]" xfId="20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2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3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61913</colOff>
      <row>4</row>
      <rowOff>228600</rowOff>
    </from>
    <to>
      <col>3</col>
      <colOff>1079500</colOff>
      <row>7</row>
      <rowOff>20638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05213" y="1752600"/>
          <a:ext cx="1017587" cy="9255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2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3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61913</colOff>
      <row>4</row>
      <rowOff>228600</rowOff>
    </from>
    <to>
      <col>3</col>
      <colOff>1079500</colOff>
      <row>7</row>
      <rowOff>20638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05213" y="1752600"/>
          <a:ext cx="1017587" cy="9223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tabSelected="1" topLeftCell="A3" zoomScale="75" zoomScaleNormal="75" workbookViewId="0">
      <selection activeCell="A14" sqref="A14:B34"/>
    </sheetView>
  </sheetViews>
  <sheetFormatPr baseColWidth="8" defaultRowHeight="12.75"/>
  <cols>
    <col width="7.28515625" customWidth="1" style="55" min="1" max="1"/>
    <col width="9.85546875" customWidth="1" style="55" min="2" max="2"/>
    <col width="36" customWidth="1" min="3" max="3"/>
    <col width="24.42578125" customWidth="1" style="1" min="4" max="4"/>
    <col width="12.85546875" customWidth="1" min="5" max="5"/>
    <col width="19.140625" customWidth="1" style="56" min="6" max="6"/>
    <col width="25.140625" customWidth="1" min="7" max="7"/>
    <col width="15" customWidth="1" min="8" max="8"/>
  </cols>
  <sheetData>
    <row r="1" ht="30" customFormat="1" customHeight="1" s="9">
      <c r="A1" s="57" t="n"/>
      <c r="B1" s="58" t="n"/>
      <c r="C1" s="7" t="n"/>
      <c r="D1" s="8" t="n"/>
      <c r="E1" s="7" t="n"/>
      <c r="F1" s="59" t="n"/>
      <c r="G1" s="7" t="n"/>
      <c r="H1" s="7" t="n"/>
    </row>
    <row r="2" ht="30" customFormat="1" customHeight="1" s="9">
      <c r="A2" s="57" t="n"/>
      <c r="B2" s="58" t="n"/>
      <c r="C2" s="6" t="n"/>
      <c r="D2" s="10" t="n"/>
      <c r="E2" s="30" t="inlineStr">
        <is>
          <t>거  래  명  세  서</t>
        </is>
      </c>
      <c r="F2" s="60" t="n"/>
      <c r="G2" s="11" t="n"/>
      <c r="H2" s="11" t="n"/>
    </row>
    <row r="3" ht="30" customFormat="1" customHeight="1" s="9">
      <c r="A3" s="57" t="n"/>
      <c r="B3" s="58" t="n"/>
      <c r="C3" s="39" t="n"/>
      <c r="D3" s="39" t="n"/>
      <c r="E3" s="39" t="n"/>
      <c r="F3" s="39" t="n"/>
    </row>
    <row r="4" ht="30" customFormat="1" customHeight="1" s="9">
      <c r="A4" s="40" t="inlineStr">
        <is>
          <t>기  간: 2026-03-01부터 2026-04-30까지</t>
        </is>
      </c>
      <c r="B4" s="61" t="n"/>
      <c r="C4" s="61" t="n"/>
      <c r="D4" s="61" t="n"/>
      <c r="E4" s="12" t="inlineStr">
        <is>
          <t>거래처:코오롱 그룹 사옥 코오롱 타워 인테리어 공사</t>
        </is>
      </c>
      <c r="F4" s="62" t="n"/>
      <c r="G4" s="12" t="n"/>
      <c r="H4" s="62" t="n"/>
    </row>
    <row r="5" ht="30" customFormat="1" customHeight="1" s="9">
      <c r="A5" s="63" t="inlineStr">
        <is>
          <t>공급자</t>
        </is>
      </c>
      <c r="B5" s="46" t="inlineStr">
        <is>
          <t>사업자등록번호 : 113-86-19492</t>
        </is>
      </c>
      <c r="C5" s="64" t="n"/>
      <c r="D5" s="65" t="n"/>
      <c r="E5" s="45" t="inlineStr">
        <is>
          <t>공급받는자</t>
        </is>
      </c>
      <c r="F5" s="46" t="inlineStr">
        <is>
          <t>등록번호 : 215-81-20534</t>
        </is>
      </c>
      <c r="G5" s="64" t="n"/>
      <c r="H5" s="65" t="n"/>
    </row>
    <row r="6" ht="29.25" customFormat="1" customHeight="1" s="9">
      <c r="A6" s="66" t="n"/>
      <c r="B6" s="35" t="inlineStr">
        <is>
          <t>상               호 : 대 림 에 스 엠㈜</t>
        </is>
      </c>
      <c r="C6" s="64" t="n"/>
      <c r="D6" s="65" t="n"/>
      <c r="E6" s="66" t="n"/>
      <c r="F6" s="35" t="inlineStr">
        <is>
          <t>상     호 :  ㈜퍼시스</t>
        </is>
      </c>
      <c r="G6" s="64" t="n"/>
      <c r="H6" s="65" t="n"/>
    </row>
    <row r="7" ht="30" customFormat="1" customHeight="1" s="9">
      <c r="A7" s="66" t="n"/>
      <c r="B7" s="35" t="inlineStr">
        <is>
          <t xml:space="preserve">대 표 자 성 명 :  남중석 </t>
        </is>
      </c>
      <c r="C7" s="64" t="n"/>
      <c r="D7" s="65" t="n"/>
      <c r="E7" s="66" t="n"/>
      <c r="F7" s="35" t="inlineStr">
        <is>
          <t>대 표 자 : 배상돈,박광호</t>
        </is>
      </c>
      <c r="G7" s="64" t="n"/>
      <c r="H7" s="65" t="n"/>
    </row>
    <row r="8" ht="30" customFormat="1" customHeight="1" s="9">
      <c r="A8" s="66" t="n"/>
      <c r="B8" s="35" t="inlineStr">
        <is>
          <t>주          소 : 서울시 구로구 고척동 75-1</t>
        </is>
      </c>
      <c r="C8" s="64" t="n"/>
      <c r="D8" s="65" t="n"/>
      <c r="E8" s="66" t="n"/>
      <c r="F8" s="35" t="inlineStr">
        <is>
          <t>주      소 : 서울특별시 송파구 오금동 45-1</t>
        </is>
      </c>
      <c r="G8" s="64" t="n"/>
      <c r="H8" s="65" t="n"/>
    </row>
    <row r="9" ht="30" customFormat="1" customHeight="1" s="9">
      <c r="A9" s="67" t="n"/>
      <c r="B9" s="35" t="inlineStr">
        <is>
          <t>123전자타운 2동4층4101호</t>
        </is>
      </c>
      <c r="C9" s="64" t="n"/>
      <c r="D9" s="65" t="n"/>
      <c r="E9" s="67" t="n"/>
      <c r="F9" s="35" t="inlineStr">
        <is>
          <t xml:space="preserve"> 퍼시스 서울본사</t>
        </is>
      </c>
      <c r="G9" s="64" t="n"/>
      <c r="H9" s="65" t="n"/>
    </row>
    <row r="10" ht="30" customFormat="1" customHeight="1" s="9">
      <c r="A10" s="68" t="n"/>
      <c r="B10" s="68" t="inlineStr">
        <is>
          <t>업태:도매 외  / 업종:안전용품 잡자재 시설물설치</t>
        </is>
      </c>
      <c r="C10" s="14" t="n"/>
      <c r="D10" s="15" t="n"/>
      <c r="E10" s="14" t="n"/>
      <c r="F10" s="35" t="inlineStr">
        <is>
          <t>업태:제조 / 업종:사무용가구,실험실가구</t>
        </is>
      </c>
      <c r="G10" s="64" t="n"/>
      <c r="H10" s="65" t="n"/>
    </row>
    <row r="11" ht="30" customFormat="1" customHeight="1" s="9">
      <c r="A11" s="35" t="inlineStr">
        <is>
          <t xml:space="preserve"> * 안전내역입니다.</t>
        </is>
      </c>
      <c r="B11" s="64" t="n"/>
      <c r="C11" s="64" t="n"/>
      <c r="D11" s="64" t="n"/>
      <c r="E11" s="64" t="n"/>
      <c r="F11" s="64" t="n"/>
      <c r="G11" s="64" t="n"/>
      <c r="H11" s="65" t="n"/>
    </row>
    <row r="12" ht="30" customFormat="1" customHeight="1" s="28">
      <c r="A12" s="69" t="inlineStr">
        <is>
          <t>일자</t>
        </is>
      </c>
      <c r="B12" s="65" t="n"/>
      <c r="C12" s="26" t="inlineStr">
        <is>
          <t>품목</t>
        </is>
      </c>
      <c r="D12" s="26" t="inlineStr">
        <is>
          <t>규격</t>
        </is>
      </c>
      <c r="E12" s="26" t="inlineStr">
        <is>
          <t>수량</t>
        </is>
      </c>
      <c r="F12" s="70" t="inlineStr">
        <is>
          <t>단가</t>
        </is>
      </c>
      <c r="G12" s="70" t="inlineStr">
        <is>
          <t>공급가액</t>
        </is>
      </c>
      <c r="H12" s="70" t="inlineStr">
        <is>
          <t>부가세</t>
        </is>
      </c>
    </row>
    <row r="13" ht="30" customFormat="1" customHeight="1" s="28">
      <c r="A13" s="71" t="n">
        <v>46108</v>
      </c>
      <c r="B13" s="65" t="n"/>
      <c r="C13" s="29" t="inlineStr">
        <is>
          <t>안전모 투구자동(백색)</t>
        </is>
      </c>
      <c r="D13" s="29" t="n"/>
      <c r="E13" s="29" t="n">
        <v>100</v>
      </c>
      <c r="F13" s="72" t="n">
        <v>4500</v>
      </c>
      <c r="G13" s="73" t="n">
        <v>450000</v>
      </c>
      <c r="H13" s="72">
        <f>G13*0.1</f>
        <v/>
      </c>
    </row>
    <row r="14" ht="30" customFormat="1" customHeight="1" s="28">
      <c r="A14" s="71" t="n">
        <v>46108</v>
      </c>
      <c r="B14" s="65" t="n"/>
      <c r="C14" s="29" t="inlineStr">
        <is>
          <t>안전모 투구자동(적색)</t>
        </is>
      </c>
      <c r="D14" s="29" t="inlineStr">
        <is>
          <t>화기감시자</t>
        </is>
      </c>
      <c r="E14" s="29" t="n">
        <v>3</v>
      </c>
      <c r="F14" s="72" t="n">
        <v>4500</v>
      </c>
      <c r="G14" s="73" t="n">
        <v>13500</v>
      </c>
      <c r="H14" s="72">
        <f>G14*0.1</f>
        <v/>
      </c>
    </row>
    <row r="15" ht="30" customFormat="1" customHeight="1" s="28">
      <c r="A15" s="71" t="n">
        <v>46108</v>
      </c>
      <c r="B15" s="65" t="n"/>
      <c r="C15" s="29" t="inlineStr">
        <is>
          <t>안전모 투구자동(적색)</t>
        </is>
      </c>
      <c r="D15" s="29" t="inlineStr">
        <is>
          <t>신호수</t>
        </is>
      </c>
      <c r="E15" s="29" t="n">
        <v>1</v>
      </c>
      <c r="F15" s="72" t="n">
        <v>4500</v>
      </c>
      <c r="G15" s="73" t="n">
        <v>4500</v>
      </c>
      <c r="H15" s="72">
        <f>G15*0.1</f>
        <v/>
      </c>
    </row>
    <row r="16" ht="30" customFormat="1" customHeight="1" s="28">
      <c r="A16" s="71" t="n">
        <v>46108</v>
      </c>
      <c r="B16" s="65" t="n"/>
      <c r="C16" s="29" t="inlineStr">
        <is>
          <t>전자신호봉</t>
        </is>
      </c>
      <c r="D16" s="29" t="n"/>
      <c r="E16" s="29" t="n">
        <v>1</v>
      </c>
      <c r="F16" s="72" t="n">
        <v>5000</v>
      </c>
      <c r="G16" s="73" t="n">
        <v>5000</v>
      </c>
      <c r="H16" s="72">
        <f>G16*0.1</f>
        <v/>
      </c>
    </row>
    <row r="17" ht="30" customFormat="1" customHeight="1" s="28">
      <c r="A17" s="71" t="n">
        <v>46108</v>
      </c>
      <c r="B17" s="65" t="n"/>
      <c r="C17" s="29" t="inlineStr">
        <is>
          <t>방진마스크 3M 8922</t>
        </is>
      </c>
      <c r="D17" s="29" t="inlineStr">
        <is>
          <t>1box(10ea)</t>
        </is>
      </c>
      <c r="E17" s="29" t="n">
        <v>100</v>
      </c>
      <c r="F17" s="72" t="n">
        <v>2000</v>
      </c>
      <c r="G17" s="73" t="n">
        <v>200000</v>
      </c>
      <c r="H17" s="72">
        <f>G17*0.1</f>
        <v/>
      </c>
    </row>
    <row r="18" ht="30" customFormat="1" customHeight="1" s="28">
      <c r="A18" s="71" t="n">
        <v>46108</v>
      </c>
      <c r="B18" s="65" t="n"/>
      <c r="C18" s="29" t="inlineStr">
        <is>
          <t>보안경</t>
        </is>
      </c>
      <c r="D18" s="29" t="n"/>
      <c r="E18" s="29" t="n">
        <v>20</v>
      </c>
      <c r="F18" s="72" t="n">
        <v>3000</v>
      </c>
      <c r="G18" s="73" t="n">
        <v>60000</v>
      </c>
      <c r="H18" s="72">
        <f>G18*0.1</f>
        <v/>
      </c>
    </row>
    <row r="19" ht="30" customFormat="1" customHeight="1" s="28">
      <c r="A19" s="71" t="n">
        <v>46114</v>
      </c>
      <c r="B19" s="65" t="n"/>
      <c r="C19" s="29" t="inlineStr">
        <is>
          <t>버미글라스</t>
        </is>
      </c>
      <c r="D19" s="29" t="n"/>
      <c r="E19" s="29" t="n">
        <v>1</v>
      </c>
      <c r="F19" s="72" t="n">
        <v>85000</v>
      </c>
      <c r="G19" s="73" t="n">
        <v>85000</v>
      </c>
      <c r="H19" s="72">
        <f>G19*0.1</f>
        <v/>
      </c>
    </row>
    <row r="20" ht="30" customFormat="1" customHeight="1" s="28">
      <c r="A20" s="71" t="n">
        <v>46114</v>
      </c>
      <c r="B20" s="65" t="n"/>
      <c r="C20" s="29" t="inlineStr">
        <is>
          <t>불티방지커버</t>
        </is>
      </c>
      <c r="D20" s="29" t="n"/>
      <c r="E20" s="29" t="n">
        <v>2</v>
      </c>
      <c r="F20" s="72" t="n">
        <v>24000</v>
      </c>
      <c r="G20" s="73" t="n">
        <v>48000</v>
      </c>
      <c r="H20" s="72">
        <f>G20*0.1</f>
        <v/>
      </c>
    </row>
    <row r="21" ht="30" customFormat="1" customHeight="1" s="28">
      <c r="A21" s="71" t="n">
        <v>46114</v>
      </c>
      <c r="B21" s="65" t="n"/>
      <c r="C21" s="29" t="inlineStr">
        <is>
          <t>소화기3.3KG</t>
        </is>
      </c>
      <c r="D21" s="29" t="n"/>
      <c r="E21" s="29" t="n">
        <v>4</v>
      </c>
      <c r="F21" s="72" t="n">
        <v>16500</v>
      </c>
      <c r="G21" s="73" t="n">
        <v>66000</v>
      </c>
      <c r="H21" s="72">
        <f>G21*0.1</f>
        <v/>
      </c>
    </row>
    <row r="22" ht="30" customFormat="1" customHeight="1" s="28">
      <c r="A22" s="71" t="n">
        <v>46114</v>
      </c>
      <c r="B22" s="65" t="n"/>
      <c r="C22" s="29" t="inlineStr">
        <is>
          <t>미세먼지마스크</t>
        </is>
      </c>
      <c r="D22" s="29" t="inlineStr">
        <is>
          <t>KF94</t>
        </is>
      </c>
      <c r="E22" s="29" t="n">
        <v>150</v>
      </c>
      <c r="F22" s="72" t="n">
        <v>400</v>
      </c>
      <c r="G22" s="73" t="n">
        <v>60000</v>
      </c>
      <c r="H22" s="72">
        <f>G22*0.1</f>
        <v/>
      </c>
    </row>
    <row r="23" ht="30" customFormat="1" customHeight="1" s="28">
      <c r="A23" s="74" t="n"/>
      <c r="B23" s="65" t="n"/>
      <c r="C23" s="29" t="n"/>
      <c r="D23" s="29" t="n"/>
      <c r="E23" s="29" t="n"/>
      <c r="F23" s="72" t="n"/>
      <c r="G23" s="73" t="n"/>
      <c r="H23" s="72" t="n"/>
    </row>
    <row r="24" ht="30" customFormat="1" customHeight="1" s="28">
      <c r="A24" s="74" t="n"/>
      <c r="B24" s="65" t="n"/>
      <c r="C24" s="29" t="n"/>
      <c r="D24" s="29" t="n"/>
      <c r="E24" s="29" t="n"/>
      <c r="F24" s="72" t="n"/>
      <c r="G24" s="73" t="n"/>
      <c r="H24" s="72" t="n"/>
    </row>
    <row r="25" ht="30" customFormat="1" customHeight="1" s="28">
      <c r="A25" s="74" t="n"/>
      <c r="B25" s="65" t="n"/>
      <c r="C25" s="29" t="n"/>
      <c r="D25" s="29" t="n"/>
      <c r="E25" s="29" t="n"/>
      <c r="F25" s="72" t="n"/>
      <c r="G25" s="73" t="n"/>
      <c r="H25" s="72" t="n"/>
    </row>
    <row r="26" ht="30" customFormat="1" customHeight="1" s="28">
      <c r="A26" s="74" t="n"/>
      <c r="B26" s="65" t="n"/>
      <c r="C26" s="29" t="n"/>
      <c r="D26" s="29" t="n"/>
      <c r="E26" s="29" t="n"/>
      <c r="F26" s="72" t="n"/>
      <c r="G26" s="73" t="n"/>
      <c r="H26" s="72" t="n"/>
    </row>
    <row r="27" ht="30" customFormat="1" customHeight="1" s="28">
      <c r="A27" s="74" t="n"/>
      <c r="B27" s="65" t="n"/>
      <c r="C27" s="29" t="n"/>
      <c r="D27" s="29" t="n"/>
      <c r="E27" s="29" t="n"/>
      <c r="F27" s="72" t="n"/>
      <c r="G27" s="73" t="n"/>
      <c r="H27" s="72" t="n"/>
    </row>
    <row r="28" ht="30" customFormat="1" customHeight="1" s="28">
      <c r="A28" s="74" t="n"/>
      <c r="B28" s="65" t="n"/>
      <c r="C28" s="29" t="n"/>
      <c r="D28" s="29" t="n"/>
      <c r="E28" s="29" t="n"/>
      <c r="F28" s="72" t="n"/>
      <c r="G28" s="73" t="n"/>
      <c r="H28" s="72" t="n"/>
    </row>
    <row r="29" ht="30" customFormat="1" customHeight="1" s="28">
      <c r="A29" s="74" t="n"/>
      <c r="B29" s="65" t="n"/>
      <c r="C29" s="29" t="n"/>
      <c r="D29" s="29" t="n"/>
      <c r="E29" s="29" t="n"/>
      <c r="F29" s="72" t="n"/>
      <c r="G29" s="73" t="n"/>
      <c r="H29" s="72" t="n"/>
    </row>
    <row r="30" ht="30" customFormat="1" customHeight="1" s="28">
      <c r="A30" s="74" t="n"/>
      <c r="B30" s="65" t="n"/>
      <c r="C30" s="29" t="n"/>
      <c r="D30" s="29" t="n"/>
      <c r="E30" s="29" t="n"/>
      <c r="F30" s="72" t="n"/>
      <c r="G30" s="73" t="n"/>
      <c r="H30" s="72" t="n"/>
    </row>
    <row r="31" ht="30" customFormat="1" customHeight="1" s="28">
      <c r="A31" s="74" t="n"/>
      <c r="B31" s="65" t="n"/>
      <c r="C31" s="29" t="n"/>
      <c r="D31" s="29" t="n"/>
      <c r="E31" s="29" t="n"/>
      <c r="F31" s="72" t="n"/>
      <c r="G31" s="73" t="n"/>
      <c r="H31" s="72" t="n"/>
    </row>
    <row r="32" ht="30" customFormat="1" customHeight="1" s="28">
      <c r="A32" s="74" t="n"/>
      <c r="B32" s="65" t="n"/>
      <c r="C32" s="29" t="n"/>
      <c r="D32" s="29" t="n"/>
      <c r="E32" s="29" t="n"/>
      <c r="F32" s="72" t="n"/>
      <c r="G32" s="73" t="n"/>
      <c r="H32" s="72" t="n"/>
    </row>
    <row r="33" ht="30" customFormat="1" customHeight="1" s="28">
      <c r="A33" s="74" t="n"/>
      <c r="B33" s="65" t="n"/>
      <c r="C33" s="29" t="n"/>
      <c r="D33" s="29" t="n"/>
      <c r="E33" s="29" t="n"/>
      <c r="F33" s="72" t="n"/>
      <c r="G33" s="73" t="n"/>
      <c r="H33" s="72" t="n"/>
    </row>
    <row r="34" ht="30" customFormat="1" customHeight="1" s="28">
      <c r="A34" s="74" t="n"/>
      <c r="B34" s="65" t="n"/>
      <c r="C34" s="29" t="n"/>
      <c r="D34" s="29" t="n"/>
      <c r="E34" s="29" t="n"/>
      <c r="F34" s="72" t="n"/>
      <c r="G34" s="73" t="n"/>
      <c r="H34" s="72" t="n"/>
    </row>
    <row r="35" ht="42.75" customFormat="1" customHeight="1" s="28">
      <c r="A35" s="26" t="inlineStr">
        <is>
          <t>공급금액</t>
        </is>
      </c>
      <c r="B35" s="64" t="n"/>
      <c r="C35" s="64" t="n"/>
      <c r="D35" s="64" t="n"/>
      <c r="E35" s="64" t="n"/>
      <c r="F35" s="65" t="n"/>
      <c r="G35" s="70">
        <f>SUM(G13:G34)</f>
        <v/>
      </c>
      <c r="H35" s="65" t="n"/>
    </row>
    <row r="36" ht="42.75" customHeight="1">
      <c r="A36" s="26" t="inlineStr">
        <is>
          <t>부가세</t>
        </is>
      </c>
      <c r="B36" s="64" t="n"/>
      <c r="C36" s="64" t="n"/>
      <c r="D36" s="64" t="n"/>
      <c r="E36" s="64" t="n"/>
      <c r="F36" s="65" t="n"/>
      <c r="G36" s="70">
        <f>SUM(H13:H35)</f>
        <v/>
      </c>
      <c r="H36" s="65" t="n"/>
    </row>
    <row r="37" ht="42.75" customHeight="1">
      <c r="A37" s="26" t="inlineStr">
        <is>
          <t>총합계</t>
        </is>
      </c>
      <c r="B37" s="64" t="n"/>
      <c r="C37" s="64" t="n"/>
      <c r="D37" s="64" t="n"/>
      <c r="E37" s="64" t="n"/>
      <c r="F37" s="65" t="n"/>
      <c r="G37" s="70">
        <f>SUM(G35:G36)</f>
        <v/>
      </c>
      <c r="H37" s="65" t="n"/>
    </row>
    <row r="38" ht="15" customHeight="1">
      <c r="A38" s="75" t="n"/>
      <c r="B38" s="75" t="n"/>
      <c r="C38" s="2" t="n"/>
      <c r="D38" s="3" t="n"/>
      <c r="E38" s="2" t="n"/>
      <c r="F38" s="76" t="n"/>
      <c r="G38" s="4" t="n"/>
      <c r="H38" s="77" t="n"/>
    </row>
  </sheetData>
  <autoFilter ref="A12:H37">
    <filterColumn colId="0" hiddenButton="0" showButton="0"/>
  </autoFilter>
  <mergeCells count="45">
    <mergeCell ref="A24:B24"/>
    <mergeCell ref="A30:B30"/>
    <mergeCell ref="A15:B15"/>
    <mergeCell ref="F5:H5"/>
    <mergeCell ref="A5:A9"/>
    <mergeCell ref="A4:D4"/>
    <mergeCell ref="B8:D8"/>
    <mergeCell ref="A37:F37"/>
    <mergeCell ref="F8:H8"/>
    <mergeCell ref="G36:H36"/>
    <mergeCell ref="A11:H11"/>
    <mergeCell ref="A16:B16"/>
    <mergeCell ref="A25:B25"/>
    <mergeCell ref="G37:H37"/>
    <mergeCell ref="B9:D9"/>
    <mergeCell ref="A35:F35"/>
    <mergeCell ref="F9:H9"/>
    <mergeCell ref="A18:B18"/>
    <mergeCell ref="A27:B27"/>
    <mergeCell ref="B6:D6"/>
    <mergeCell ref="A12:B12"/>
    <mergeCell ref="A26:B26"/>
    <mergeCell ref="A21:B21"/>
    <mergeCell ref="B5:D5"/>
    <mergeCell ref="E5:E9"/>
    <mergeCell ref="A33:B33"/>
    <mergeCell ref="A32:B32"/>
    <mergeCell ref="A14:B14"/>
    <mergeCell ref="A23:B23"/>
    <mergeCell ref="A17:B17"/>
    <mergeCell ref="B7:D7"/>
    <mergeCell ref="A22:B22"/>
    <mergeCell ref="G35:H35"/>
    <mergeCell ref="A20:B20"/>
    <mergeCell ref="F10:H10"/>
    <mergeCell ref="F6:H6"/>
    <mergeCell ref="A29:B29"/>
    <mergeCell ref="A36:F36"/>
    <mergeCell ref="A19:B19"/>
    <mergeCell ref="A28:B28"/>
    <mergeCell ref="A13:B13"/>
    <mergeCell ref="F7:H7"/>
    <mergeCell ref="F3:H3"/>
    <mergeCell ref="A31:B31"/>
    <mergeCell ref="A34:B34"/>
  </mergeCells>
  <pageMargins left="0.16" right="0.11" top="0.16" bottom="0.16" header="0.16" footer="0.16"/>
  <pageSetup orientation="portrait" paperSize="9" scale="60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zoomScale="75" zoomScaleNormal="75" workbookViewId="0">
      <selection activeCell="C13" sqref="C13:G40"/>
    </sheetView>
  </sheetViews>
  <sheetFormatPr baseColWidth="8" defaultRowHeight="12.75"/>
  <cols>
    <col width="7.28515625" customWidth="1" style="55" min="1" max="1"/>
    <col width="9.85546875" customWidth="1" style="55" min="2" max="2"/>
    <col width="36" customWidth="1" min="3" max="3"/>
    <col width="24.42578125" customWidth="1" style="1" min="4" max="4"/>
    <col width="12.85546875" customWidth="1" min="5" max="5"/>
    <col width="19.140625" customWidth="1" style="56" min="6" max="6"/>
    <col width="25.140625" customWidth="1" min="7" max="7"/>
    <col width="15" customWidth="1" min="8" max="8"/>
  </cols>
  <sheetData>
    <row r="1" ht="30" customFormat="1" customHeight="1" s="9">
      <c r="A1" s="57" t="n"/>
      <c r="B1" s="58" t="n"/>
      <c r="C1" s="7" t="n"/>
      <c r="D1" s="8" t="n"/>
      <c r="E1" s="7" t="n"/>
      <c r="F1" s="59" t="n"/>
      <c r="G1" s="7" t="n"/>
      <c r="H1" s="7" t="n"/>
    </row>
    <row r="2" ht="30" customFormat="1" customHeight="1" s="9">
      <c r="A2" s="57" t="n"/>
      <c r="B2" s="58" t="n"/>
      <c r="C2" s="6" t="n"/>
      <c r="D2" s="10" t="n"/>
      <c r="E2" s="30" t="inlineStr">
        <is>
          <t>거  래  명  세  서</t>
        </is>
      </c>
      <c r="F2" s="60" t="n"/>
      <c r="G2" s="11" t="n"/>
      <c r="H2" s="11" t="n"/>
    </row>
    <row r="3" ht="30" customFormat="1" customHeight="1" s="9">
      <c r="A3" s="57" t="n"/>
      <c r="B3" s="58" t="n"/>
      <c r="C3" s="39" t="n"/>
      <c r="D3" s="39" t="n"/>
      <c r="E3" s="39" t="n"/>
      <c r="F3" s="39" t="n"/>
    </row>
    <row r="4" ht="30" customFormat="1" customHeight="1" s="9">
      <c r="A4" s="40">
        <f>안전!A4</f>
        <v/>
      </c>
      <c r="B4" s="61" t="n"/>
      <c r="C4" s="61" t="n"/>
      <c r="D4" s="61" t="n"/>
      <c r="E4" s="12">
        <f>안전!E4</f>
        <v/>
      </c>
      <c r="F4" s="62" t="n"/>
      <c r="G4" s="12" t="n"/>
      <c r="H4" s="62" t="n"/>
    </row>
    <row r="5" ht="30" customFormat="1" customHeight="1" s="9">
      <c r="A5" s="63" t="inlineStr">
        <is>
          <t>공급자</t>
        </is>
      </c>
      <c r="B5" s="46" t="inlineStr">
        <is>
          <t>사업자등록번호 : 113-86-19492</t>
        </is>
      </c>
      <c r="C5" s="64" t="n"/>
      <c r="D5" s="65" t="n"/>
      <c r="E5" s="45" t="inlineStr">
        <is>
          <t>공급받는자</t>
        </is>
      </c>
      <c r="F5" s="46" t="inlineStr">
        <is>
          <t>등록번호 : 215-81-20534</t>
        </is>
      </c>
      <c r="G5" s="64" t="n"/>
      <c r="H5" s="65" t="n"/>
    </row>
    <row r="6" ht="29.25" customFormat="1" customHeight="1" s="9">
      <c r="A6" s="66" t="n"/>
      <c r="B6" s="35" t="inlineStr">
        <is>
          <t>상               호 : 대 림 에 스 엠㈜</t>
        </is>
      </c>
      <c r="C6" s="64" t="n"/>
      <c r="D6" s="65" t="n"/>
      <c r="E6" s="66" t="n"/>
      <c r="F6" s="35" t="inlineStr">
        <is>
          <t>상     호 :  ㈜퍼시스</t>
        </is>
      </c>
      <c r="G6" s="64" t="n"/>
      <c r="H6" s="65" t="n"/>
    </row>
    <row r="7" ht="30" customFormat="1" customHeight="1" s="9">
      <c r="A7" s="66" t="n"/>
      <c r="B7" s="35" t="inlineStr">
        <is>
          <t xml:space="preserve">대 표 자 성 명 :  남중석 </t>
        </is>
      </c>
      <c r="C7" s="64" t="n"/>
      <c r="D7" s="65" t="n"/>
      <c r="E7" s="66" t="n"/>
      <c r="F7" s="35" t="inlineStr">
        <is>
          <t>대 표 자 : 배상돈,박광호</t>
        </is>
      </c>
      <c r="G7" s="64" t="n"/>
      <c r="H7" s="65" t="n"/>
    </row>
    <row r="8" ht="30" customFormat="1" customHeight="1" s="9">
      <c r="A8" s="66" t="n"/>
      <c r="B8" s="35" t="inlineStr">
        <is>
          <t>주          소 : 서울시 구로구 고척동 75-1</t>
        </is>
      </c>
      <c r="C8" s="64" t="n"/>
      <c r="D8" s="65" t="n"/>
      <c r="E8" s="66" t="n"/>
      <c r="F8" s="35" t="inlineStr">
        <is>
          <t>주      소 : 서울특별시 송파구 오금동 45-1</t>
        </is>
      </c>
      <c r="G8" s="64" t="n"/>
      <c r="H8" s="65" t="n"/>
    </row>
    <row r="9" ht="30" customFormat="1" customHeight="1" s="9">
      <c r="A9" s="67" t="n"/>
      <c r="B9" s="35" t="inlineStr">
        <is>
          <t>123전자타운 2동4층4101호</t>
        </is>
      </c>
      <c r="C9" s="64" t="n"/>
      <c r="D9" s="65" t="n"/>
      <c r="E9" s="67" t="n"/>
      <c r="F9" s="35" t="inlineStr">
        <is>
          <t xml:space="preserve"> 퍼시스 서울본사</t>
        </is>
      </c>
      <c r="G9" s="64" t="n"/>
      <c r="H9" s="65" t="n"/>
    </row>
    <row r="10" ht="30" customFormat="1" customHeight="1" s="9">
      <c r="A10" s="68" t="n"/>
      <c r="B10" s="68" t="inlineStr">
        <is>
          <t>업태:도매 외  / 업종:안전용품 잡자재 시설물설치</t>
        </is>
      </c>
      <c r="C10" s="14" t="n"/>
      <c r="D10" s="15" t="n"/>
      <c r="E10" s="14" t="n"/>
      <c r="F10" s="35" t="inlineStr">
        <is>
          <t>업태:제조 / 업종:사무용가구,실험실가구</t>
        </is>
      </c>
      <c r="G10" s="64" t="n"/>
      <c r="H10" s="65" t="n"/>
    </row>
    <row r="11" ht="30" customFormat="1" customHeight="1" s="9">
      <c r="A11" s="35" t="inlineStr">
        <is>
          <t xml:space="preserve"> * 잡자재내역입니다.</t>
        </is>
      </c>
      <c r="B11" s="64" t="n"/>
      <c r="C11" s="64" t="n"/>
      <c r="D11" s="64" t="n"/>
      <c r="E11" s="64" t="n"/>
      <c r="F11" s="64" t="n"/>
      <c r="G11" s="64" t="n"/>
      <c r="H11" s="65" t="n"/>
    </row>
    <row r="12" ht="30" customFormat="1" customHeight="1" s="28">
      <c r="A12" s="69" t="inlineStr">
        <is>
          <t>일자</t>
        </is>
      </c>
      <c r="B12" s="65" t="n"/>
      <c r="C12" s="26" t="inlineStr">
        <is>
          <t>품목</t>
        </is>
      </c>
      <c r="D12" s="26" t="inlineStr">
        <is>
          <t>규격</t>
        </is>
      </c>
      <c r="E12" s="26" t="inlineStr">
        <is>
          <t>수량</t>
        </is>
      </c>
      <c r="F12" s="70" t="inlineStr">
        <is>
          <t>단가</t>
        </is>
      </c>
      <c r="G12" s="70" t="inlineStr">
        <is>
          <t>공급가액</t>
        </is>
      </c>
      <c r="H12" s="70" t="inlineStr">
        <is>
          <t>부가세</t>
        </is>
      </c>
    </row>
    <row r="13" ht="30" customFormat="1" customHeight="1" s="28">
      <c r="A13" s="71" t="n">
        <v>46108</v>
      </c>
      <c r="B13" s="65" t="n"/>
      <c r="C13" s="29" t="inlineStr">
        <is>
          <t>안전조끼</t>
        </is>
      </c>
      <c r="D13" s="29" t="inlineStr">
        <is>
          <t>작업자용</t>
        </is>
      </c>
      <c r="E13" s="29" t="n">
        <v>100</v>
      </c>
      <c r="F13" s="72" t="n">
        <v>7000</v>
      </c>
      <c r="G13" s="73" t="n">
        <v>700000</v>
      </c>
      <c r="H13" s="72">
        <f>G13*0.1</f>
        <v/>
      </c>
    </row>
    <row r="14" ht="30" customFormat="1" customHeight="1" s="28">
      <c r="A14" s="71" t="n">
        <v>46108</v>
      </c>
      <c r="B14" s="65" t="n"/>
      <c r="C14" s="29" t="inlineStr">
        <is>
          <t>안전조끼</t>
        </is>
      </c>
      <c r="D14" s="29" t="inlineStr">
        <is>
          <t>화기감시자</t>
        </is>
      </c>
      <c r="E14" s="29" t="n">
        <v>3</v>
      </c>
      <c r="F14" s="72" t="n">
        <v>7000</v>
      </c>
      <c r="G14" s="73" t="n">
        <v>21000</v>
      </c>
      <c r="H14" s="72">
        <f>G14*0.1</f>
        <v/>
      </c>
    </row>
    <row r="15" ht="30" customFormat="1" customHeight="1" s="28">
      <c r="A15" s="71" t="n">
        <v>46108</v>
      </c>
      <c r="B15" s="65" t="n"/>
      <c r="C15" s="29" t="inlineStr">
        <is>
          <t>안전조끼</t>
        </is>
      </c>
      <c r="D15" s="29" t="inlineStr">
        <is>
          <t>신호수</t>
        </is>
      </c>
      <c r="E15" s="29" t="n">
        <v>1</v>
      </c>
      <c r="F15" s="72" t="n">
        <v>7000</v>
      </c>
      <c r="G15" s="73" t="n">
        <v>7000</v>
      </c>
      <c r="H15" s="72">
        <f>G15*0.1</f>
        <v/>
      </c>
    </row>
    <row r="16" ht="30" customFormat="1" customHeight="1" s="28">
      <c r="A16" s="71" t="n">
        <v>46108</v>
      </c>
      <c r="B16" s="65" t="n"/>
      <c r="C16" s="29" t="inlineStr">
        <is>
          <t>안전조끼</t>
        </is>
      </c>
      <c r="D16" s="29" t="inlineStr">
        <is>
          <t>안전관리자</t>
        </is>
      </c>
      <c r="E16" s="29" t="n">
        <v>3</v>
      </c>
      <c r="F16" s="72" t="n">
        <v>7000</v>
      </c>
      <c r="G16" s="73" t="n">
        <v>21000</v>
      </c>
      <c r="H16" s="72">
        <f>G16*0.1</f>
        <v/>
      </c>
    </row>
    <row r="17" ht="30" customFormat="1" customHeight="1" s="28">
      <c r="A17" s="71" t="n">
        <v>46108</v>
      </c>
      <c r="B17" s="65" t="n"/>
      <c r="C17" s="29" t="inlineStr">
        <is>
          <t>마대</t>
        </is>
      </c>
      <c r="D17" s="29" t="inlineStr">
        <is>
          <t>80KG</t>
        </is>
      </c>
      <c r="E17" s="29" t="n">
        <v>350</v>
      </c>
      <c r="F17" s="72" t="n">
        <v>140</v>
      </c>
      <c r="G17" s="73" t="n">
        <v>49000</v>
      </c>
      <c r="H17" s="72">
        <f>G17*0.1</f>
        <v/>
      </c>
    </row>
    <row r="18" ht="30" customFormat="1" customHeight="1" s="28">
      <c r="A18" s="71" t="n">
        <v>46108</v>
      </c>
      <c r="B18" s="65" t="n"/>
      <c r="C18" s="29" t="inlineStr">
        <is>
          <t>폴리베니아 3T</t>
        </is>
      </c>
      <c r="D18" s="29" t="inlineStr">
        <is>
          <t>900*1800/백색</t>
        </is>
      </c>
      <c r="E18" s="29" t="n">
        <v>40</v>
      </c>
      <c r="F18" s="72" t="n">
        <v>2200</v>
      </c>
      <c r="G18" s="73" t="n">
        <v>88000</v>
      </c>
      <c r="H18" s="72">
        <f>G18*0.1</f>
        <v/>
      </c>
    </row>
    <row r="19" ht="30" customFormat="1" customHeight="1" s="28">
      <c r="A19" s="71" t="n">
        <v>46108</v>
      </c>
      <c r="B19" s="65" t="n"/>
      <c r="C19" s="29" t="inlineStr">
        <is>
          <t>커버링테이프</t>
        </is>
      </c>
      <c r="D19" s="29" t="inlineStr">
        <is>
          <t>2000</t>
        </is>
      </c>
      <c r="E19" s="29" t="n">
        <v>10</v>
      </c>
      <c r="F19" s="72" t="n">
        <v>4100</v>
      </c>
      <c r="G19" s="73" t="n">
        <v>41000</v>
      </c>
      <c r="H19" s="72">
        <f>G19*0.1</f>
        <v/>
      </c>
    </row>
    <row r="20" ht="30" customFormat="1" customHeight="1" s="28">
      <c r="A20" s="71" t="n">
        <v>46108</v>
      </c>
      <c r="B20" s="65" t="n"/>
      <c r="C20" s="29" t="inlineStr">
        <is>
          <t>반코팅 장갑</t>
        </is>
      </c>
      <c r="D20" s="29" t="inlineStr">
        <is>
          <t>적색/1타</t>
        </is>
      </c>
      <c r="E20" s="29" t="n">
        <v>2</v>
      </c>
      <c r="F20" s="72" t="n">
        <v>2500</v>
      </c>
      <c r="G20" s="73" t="n">
        <v>5000</v>
      </c>
      <c r="H20" s="72">
        <f>G20*0.1</f>
        <v/>
      </c>
    </row>
    <row r="21" ht="30" customFormat="1" customHeight="1" s="28">
      <c r="A21" s="71" t="n">
        <v>46108</v>
      </c>
      <c r="B21" s="65" t="n"/>
      <c r="C21" s="31" t="inlineStr">
        <is>
          <t>황색외곽쓰레받이</t>
        </is>
      </c>
      <c r="D21" s="31" t="n"/>
      <c r="E21" s="31" t="n">
        <v>2</v>
      </c>
      <c r="F21" s="78" t="n">
        <v>8000</v>
      </c>
      <c r="G21" s="78" t="n">
        <v>16000</v>
      </c>
      <c r="H21" s="72">
        <f>G21*0.1</f>
        <v/>
      </c>
    </row>
    <row r="22" ht="30" customFormat="1" customHeight="1" s="28">
      <c r="A22" s="71" t="n">
        <v>46108</v>
      </c>
      <c r="B22" s="65" t="n"/>
      <c r="C22" s="31" t="inlineStr">
        <is>
          <t>갈대비A</t>
        </is>
      </c>
      <c r="D22" s="31" t="inlineStr">
        <is>
          <t>고운비</t>
        </is>
      </c>
      <c r="E22" s="31" t="n">
        <v>2</v>
      </c>
      <c r="F22" s="78" t="n">
        <v>3300</v>
      </c>
      <c r="G22" s="78" t="n">
        <v>6600</v>
      </c>
      <c r="H22" s="72">
        <f>G22*0.1</f>
        <v/>
      </c>
    </row>
    <row r="23" ht="30" customFormat="1" customHeight="1" s="28">
      <c r="A23" s="71" t="n">
        <v>46108</v>
      </c>
      <c r="B23" s="65" t="n"/>
      <c r="C23" s="31" t="inlineStr">
        <is>
          <t>수수비</t>
        </is>
      </c>
      <c r="D23" s="31" t="n"/>
      <c r="E23" s="31" t="n">
        <v>2</v>
      </c>
      <c r="F23" s="78" t="n">
        <v>3300</v>
      </c>
      <c r="G23" s="78" t="n">
        <v>6600</v>
      </c>
      <c r="H23" s="72">
        <f>G23*0.1</f>
        <v/>
      </c>
    </row>
    <row r="24" ht="30" customFormat="1" customHeight="1" s="28">
      <c r="A24" s="71" t="n">
        <v>46108</v>
      </c>
      <c r="B24" s="65" t="n"/>
      <c r="C24" s="31" t="inlineStr">
        <is>
          <t>보양테이프</t>
        </is>
      </c>
      <c r="D24" s="31" t="inlineStr">
        <is>
          <t>커트에이스</t>
        </is>
      </c>
      <c r="E24" s="31" t="n">
        <v>30</v>
      </c>
      <c r="F24" s="78" t="n">
        <v>3900</v>
      </c>
      <c r="G24" s="78" t="n">
        <v>117000</v>
      </c>
      <c r="H24" s="72">
        <f>G24*0.1</f>
        <v/>
      </c>
    </row>
    <row r="25" ht="30" customFormat="1" customHeight="1" s="28">
      <c r="A25" s="71" t="n">
        <v>46108</v>
      </c>
      <c r="B25" s="65" t="n"/>
      <c r="C25" s="31" t="inlineStr">
        <is>
          <t>마스킹테이프 5CM</t>
        </is>
      </c>
      <c r="D25" s="31" t="inlineStr">
        <is>
          <t>종이테이프</t>
        </is>
      </c>
      <c r="E25" s="31" t="n">
        <v>24</v>
      </c>
      <c r="F25" s="78" t="n">
        <v>2000</v>
      </c>
      <c r="G25" s="78" t="n">
        <v>48000</v>
      </c>
      <c r="H25" s="72">
        <f>G25*0.1</f>
        <v/>
      </c>
    </row>
    <row r="26" ht="30" customFormat="1" customHeight="1" s="28">
      <c r="A26" s="71" t="n">
        <v>46108</v>
      </c>
      <c r="B26" s="65" t="n"/>
      <c r="C26" s="31" t="inlineStr">
        <is>
          <t>각반 (무재해)</t>
        </is>
      </c>
      <c r="D26" s="31" t="n"/>
      <c r="E26" s="31" t="n">
        <v>100</v>
      </c>
      <c r="F26" s="78" t="n">
        <v>450</v>
      </c>
      <c r="G26" s="78" t="n">
        <v>45000</v>
      </c>
      <c r="H26" s="72">
        <f>G26*0.1</f>
        <v/>
      </c>
    </row>
    <row r="27" ht="30" customFormat="1" customHeight="1" s="28">
      <c r="A27" s="71" t="n">
        <v>46108</v>
      </c>
      <c r="B27" s="65" t="n"/>
      <c r="C27" s="31" t="inlineStr">
        <is>
          <t>접이식 책상</t>
        </is>
      </c>
      <c r="D27" s="31" t="inlineStr">
        <is>
          <t>1800</t>
        </is>
      </c>
      <c r="E27" s="31" t="n">
        <v>1</v>
      </c>
      <c r="F27" s="78" t="n">
        <v>70000</v>
      </c>
      <c r="G27" s="78" t="n">
        <v>70000</v>
      </c>
      <c r="H27" s="72">
        <f>G27*0.1</f>
        <v/>
      </c>
    </row>
    <row r="28" ht="30" customFormat="1" customHeight="1" s="28">
      <c r="A28" s="71" t="n">
        <v>46108</v>
      </c>
      <c r="B28" s="65" t="n"/>
      <c r="C28" s="31" t="inlineStr">
        <is>
          <t>접의자</t>
        </is>
      </c>
      <c r="D28" s="31" t="n"/>
      <c r="E28" s="31" t="n">
        <v>3</v>
      </c>
      <c r="F28" s="78" t="n">
        <v>30000</v>
      </c>
      <c r="G28" s="78" t="n">
        <v>90000</v>
      </c>
      <c r="H28" s="72">
        <f>G28*0.1</f>
        <v/>
      </c>
    </row>
    <row r="29" ht="30" customFormat="1" customHeight="1" s="28">
      <c r="A29" s="71" t="n">
        <v>46112</v>
      </c>
      <c r="B29" s="65" t="n"/>
      <c r="C29" s="31" t="inlineStr">
        <is>
          <t>천막(텐텐지)1.8*100M 백색</t>
        </is>
      </c>
      <c r="D29" s="31" t="n"/>
      <c r="E29" s="31" t="n">
        <v>3</v>
      </c>
      <c r="F29" s="78" t="n">
        <v>37500</v>
      </c>
      <c r="G29" s="78" t="n">
        <v>112500</v>
      </c>
      <c r="H29" s="72">
        <f>G29*0.1</f>
        <v/>
      </c>
    </row>
    <row r="30" ht="30" customFormat="1" customHeight="1" s="28">
      <c r="A30" s="71" t="n">
        <v>46112</v>
      </c>
      <c r="B30" s="65" t="n"/>
      <c r="C30" s="31" t="inlineStr">
        <is>
          <t>폴리베니아 3T</t>
        </is>
      </c>
      <c r="D30" s="31" t="inlineStr">
        <is>
          <t>900*1800/백색</t>
        </is>
      </c>
      <c r="E30" s="31" t="n">
        <v>40</v>
      </c>
      <c r="F30" s="78" t="n">
        <v>2200</v>
      </c>
      <c r="G30" s="78" t="n">
        <v>88000</v>
      </c>
      <c r="H30" s="72">
        <f>G30*0.1</f>
        <v/>
      </c>
    </row>
    <row r="31" ht="30" customFormat="1" customHeight="1" s="28">
      <c r="A31" s="71" t="n">
        <v>46112</v>
      </c>
      <c r="B31" s="65" t="n"/>
      <c r="C31" s="31" t="inlineStr">
        <is>
          <t>종이각대/코너각대</t>
        </is>
      </c>
      <c r="D31" s="31" t="inlineStr">
        <is>
          <t>3T*50*2000</t>
        </is>
      </c>
      <c r="E31" s="31" t="n">
        <v>60</v>
      </c>
      <c r="F31" s="78" t="n">
        <v>750</v>
      </c>
      <c r="G31" s="78" t="n">
        <v>45000</v>
      </c>
      <c r="H31" s="72">
        <f>G31*0.1</f>
        <v/>
      </c>
    </row>
    <row r="32" ht="30" customFormat="1" customHeight="1" s="28">
      <c r="A32" s="71" t="n">
        <v>46119</v>
      </c>
      <c r="B32" s="65" t="n"/>
      <c r="C32" s="31" t="inlineStr">
        <is>
          <t>안전조끼</t>
        </is>
      </c>
      <c r="D32" s="31" t="inlineStr">
        <is>
          <t>작업자용</t>
        </is>
      </c>
      <c r="E32" s="31" t="n">
        <v>50</v>
      </c>
      <c r="F32" s="78" t="n">
        <v>7000</v>
      </c>
      <c r="G32" s="78" t="n">
        <v>350000</v>
      </c>
      <c r="H32" s="72">
        <f>G32*0.1</f>
        <v/>
      </c>
    </row>
    <row r="33" ht="30" customFormat="1" customHeight="1" s="28">
      <c r="A33" s="71" t="n">
        <v>46127</v>
      </c>
      <c r="B33" s="65" t="n"/>
      <c r="C33" s="31" t="inlineStr">
        <is>
          <t>마대</t>
        </is>
      </c>
      <c r="D33" s="31" t="inlineStr">
        <is>
          <t>100kg</t>
        </is>
      </c>
      <c r="E33" s="31" t="n">
        <v>300</v>
      </c>
      <c r="F33" s="78" t="n">
        <v>350</v>
      </c>
      <c r="G33" s="78" t="n">
        <v>105000</v>
      </c>
      <c r="H33" s="72">
        <f>G33*0.1</f>
        <v/>
      </c>
    </row>
    <row r="34" ht="30" customFormat="1" customHeight="1" s="28">
      <c r="A34" s="71" t="n">
        <v>46127</v>
      </c>
      <c r="B34" s="65" t="n"/>
      <c r="C34" s="31" t="inlineStr">
        <is>
          <t>갈대비A</t>
        </is>
      </c>
      <c r="D34" s="31" t="inlineStr">
        <is>
          <t>고운비</t>
        </is>
      </c>
      <c r="E34" s="31" t="n">
        <v>2</v>
      </c>
      <c r="F34" s="78" t="n">
        <v>3300</v>
      </c>
      <c r="G34" s="78" t="n">
        <v>6600</v>
      </c>
      <c r="H34" s="72">
        <f>G34*0.1</f>
        <v/>
      </c>
    </row>
    <row r="35" ht="30" customFormat="1" customHeight="1" s="28">
      <c r="A35" s="74" t="n"/>
      <c r="B35" s="65" t="n"/>
      <c r="C35" s="31" t="n"/>
      <c r="D35" s="31" t="n"/>
      <c r="E35" s="31" t="n"/>
      <c r="F35" s="78" t="n"/>
      <c r="G35" s="78" t="n"/>
      <c r="H35" s="72" t="n"/>
    </row>
    <row r="36" ht="30" customFormat="1" customHeight="1" s="28">
      <c r="A36" s="74" t="n"/>
      <c r="B36" s="65" t="n"/>
      <c r="C36" s="31" t="n"/>
      <c r="D36" s="31" t="n"/>
      <c r="E36" s="31" t="n"/>
      <c r="F36" s="78" t="n"/>
      <c r="G36" s="78" t="n"/>
      <c r="H36" s="72" t="n"/>
    </row>
    <row r="37" ht="30" customFormat="1" customHeight="1" s="28">
      <c r="A37" s="74" t="n"/>
      <c r="B37" s="65" t="n"/>
      <c r="C37" s="31" t="n"/>
      <c r="D37" s="31" t="n"/>
      <c r="E37" s="31" t="n"/>
      <c r="F37" s="78" t="n"/>
      <c r="G37" s="78" t="n"/>
      <c r="H37" s="72" t="n"/>
    </row>
    <row r="38" ht="30" customFormat="1" customHeight="1" s="28">
      <c r="A38" s="74" t="n"/>
      <c r="B38" s="65" t="n"/>
      <c r="C38" s="31" t="n"/>
      <c r="D38" s="31" t="n"/>
      <c r="E38" s="31" t="n"/>
      <c r="F38" s="78" t="n"/>
      <c r="G38" s="78" t="n"/>
      <c r="H38" s="72" t="n"/>
    </row>
    <row r="39" ht="30" customFormat="1" customHeight="1" s="28">
      <c r="A39" s="74" t="n"/>
      <c r="B39" s="65" t="n"/>
      <c r="C39" s="31" t="n"/>
      <c r="D39" s="31" t="n"/>
      <c r="E39" s="31" t="n"/>
      <c r="F39" s="78" t="n"/>
      <c r="G39" s="78" t="n"/>
      <c r="H39" s="72" t="n"/>
    </row>
    <row r="40" ht="30" customFormat="1" customHeight="1" s="28">
      <c r="A40" s="74" t="n"/>
      <c r="B40" s="65" t="n"/>
      <c r="C40" s="31" t="n"/>
      <c r="D40" s="31" t="n"/>
      <c r="E40" s="31" t="n"/>
      <c r="F40" s="78" t="n"/>
      <c r="G40" s="78" t="n"/>
      <c r="H40" s="72" t="n"/>
    </row>
    <row r="41" ht="42.75" customFormat="1" customHeight="1" s="28">
      <c r="A41" s="26" t="inlineStr">
        <is>
          <t>공급금액</t>
        </is>
      </c>
      <c r="B41" s="64" t="n"/>
      <c r="C41" s="64" t="n"/>
      <c r="D41" s="64" t="n"/>
      <c r="E41" s="64" t="n"/>
      <c r="F41" s="65" t="n"/>
      <c r="G41" s="70">
        <f>SUM(G13:G40)</f>
        <v/>
      </c>
      <c r="H41" s="65" t="n"/>
    </row>
    <row r="42" ht="42.75" customHeight="1">
      <c r="A42" s="26" t="inlineStr">
        <is>
          <t>부가세</t>
        </is>
      </c>
      <c r="B42" s="64" t="n"/>
      <c r="C42" s="64" t="n"/>
      <c r="D42" s="64" t="n"/>
      <c r="E42" s="64" t="n"/>
      <c r="F42" s="65" t="n"/>
      <c r="G42" s="70">
        <f>SUM(H13:H41)</f>
        <v/>
      </c>
      <c r="H42" s="65" t="n"/>
    </row>
    <row r="43" ht="42.75" customHeight="1">
      <c r="A43" s="26" t="inlineStr">
        <is>
          <t>총합계</t>
        </is>
      </c>
      <c r="B43" s="64" t="n"/>
      <c r="C43" s="64" t="n"/>
      <c r="D43" s="64" t="n"/>
      <c r="E43" s="64" t="n"/>
      <c r="F43" s="65" t="n"/>
      <c r="G43" s="70">
        <f>SUM(G41:G42)</f>
        <v/>
      </c>
      <c r="H43" s="65" t="n"/>
    </row>
    <row r="44" ht="15" customHeight="1">
      <c r="A44" s="75" t="n"/>
      <c r="B44" s="75" t="n"/>
      <c r="C44" s="2" t="n"/>
      <c r="D44" s="3" t="n"/>
      <c r="E44" s="2" t="n"/>
      <c r="F44" s="76" t="n"/>
      <c r="G44" s="4" t="n"/>
      <c r="H44" s="77" t="n"/>
    </row>
  </sheetData>
  <autoFilter ref="A12:H43">
    <filterColumn colId="0" hiddenButton="0" showButton="0"/>
  </autoFilter>
  <mergeCells count="51">
    <mergeCell ref="A41:F41"/>
    <mergeCell ref="A30:B30"/>
    <mergeCell ref="A24:B24"/>
    <mergeCell ref="G43:H43"/>
    <mergeCell ref="F5:H5"/>
    <mergeCell ref="A15:B15"/>
    <mergeCell ref="A5:A9"/>
    <mergeCell ref="A4:D4"/>
    <mergeCell ref="B8:D8"/>
    <mergeCell ref="G42:H42"/>
    <mergeCell ref="F8:H8"/>
    <mergeCell ref="A36:B36"/>
    <mergeCell ref="A11:H11"/>
    <mergeCell ref="A16:B16"/>
    <mergeCell ref="A42:F42"/>
    <mergeCell ref="A25:B25"/>
    <mergeCell ref="A37:B37"/>
    <mergeCell ref="B9:D9"/>
    <mergeCell ref="F9:H9"/>
    <mergeCell ref="A18:B18"/>
    <mergeCell ref="A27:B27"/>
    <mergeCell ref="B6:D6"/>
    <mergeCell ref="A12:B12"/>
    <mergeCell ref="A43:F43"/>
    <mergeCell ref="A26:B26"/>
    <mergeCell ref="E5:E9"/>
    <mergeCell ref="B5:D5"/>
    <mergeCell ref="A21:B21"/>
    <mergeCell ref="A33:B33"/>
    <mergeCell ref="A32:B32"/>
    <mergeCell ref="A14:B14"/>
    <mergeCell ref="A23:B23"/>
    <mergeCell ref="A17:B17"/>
    <mergeCell ref="B7:D7"/>
    <mergeCell ref="A22:B22"/>
    <mergeCell ref="A35:B35"/>
    <mergeCell ref="F10:H10"/>
    <mergeCell ref="A38:B38"/>
    <mergeCell ref="A20:B20"/>
    <mergeCell ref="F6:H6"/>
    <mergeCell ref="A29:B29"/>
    <mergeCell ref="A19:B19"/>
    <mergeCell ref="G41:H41"/>
    <mergeCell ref="A28:B28"/>
    <mergeCell ref="A13:B13"/>
    <mergeCell ref="F7:H7"/>
    <mergeCell ref="F3:H3"/>
    <mergeCell ref="A31:B31"/>
    <mergeCell ref="A39:B39"/>
    <mergeCell ref="A34:B34"/>
    <mergeCell ref="A40:B40"/>
  </mergeCells>
  <pageMargins left="0.16" right="0.11" top="0.16" bottom="0.16" header="0.16" footer="0.16"/>
  <pageSetup orientation="portrait" paperSize="9" scale="60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ANPC</dc:creator>
  <dcterms:created xmlns:dcterms="http://purl.org/dc/terms/" xmlns:xsi="http://www.w3.org/2001/XMLSchema-instance" xsi:type="dcterms:W3CDTF">2020-05-14T01:26:13Z</dcterms:created>
  <dcterms:modified xmlns:dcterms="http://purl.org/dc/terms/" xmlns:xsi="http://www.w3.org/2001/XMLSchema-instance" xsi:type="dcterms:W3CDTF">2026-04-20T08:33:57Z</dcterms:modified>
  <cp:lastModifiedBy>NAMKW</cp:lastModifiedBy>
  <cp:lastPrinted>2021-02-26T06:28:59Z</cp:lastPrinted>
</cp:coreProperties>
</file>