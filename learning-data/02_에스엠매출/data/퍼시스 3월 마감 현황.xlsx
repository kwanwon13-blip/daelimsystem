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퍼시스 3월 마감 현황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<sst xmlns="http://schemas.openxmlformats.org/spreadsheetml/2006/main" count="32" uniqueCount="30">
  <si>
    <r>
      <rPr>
        <b val="true"/>
        <sz val="14"/>
        <rFont val="DejaVu Sans"/>
        <family val="2"/>
      </rPr>
      <t xml:space="preserve">㈜퍼시스 </t>
    </r>
    <r>
      <rPr>
        <b val="true"/>
        <sz val="14"/>
        <rFont val="맑은 고딕"/>
        <family val="0"/>
        <charset val="1"/>
      </rPr>
      <t xml:space="preserve">2026</t>
    </r>
    <r>
      <rPr>
        <b val="true"/>
        <sz val="14"/>
        <rFont val="DejaVu Sans"/>
        <family val="2"/>
      </rPr>
      <t xml:space="preserve">년 </t>
    </r>
    <r>
      <rPr>
        <b val="true"/>
        <sz val="14"/>
        <rFont val="맑은 고딕"/>
        <family val="0"/>
        <charset val="1"/>
      </rPr>
      <t xml:space="preserve">3</t>
    </r>
    <r>
      <rPr>
        <b val="true"/>
        <sz val="14"/>
        <rFont val="DejaVu Sans"/>
        <family val="2"/>
      </rPr>
      <t xml:space="preserve">월 마감 현황</t>
    </r>
  </si>
  <si>
    <r>
      <rPr>
        <sz val="10"/>
        <color rgb="FF595959"/>
        <rFont val="DejaVu Sans"/>
        <family val="2"/>
      </rPr>
      <t xml:space="preserve">기간</t>
    </r>
    <r>
      <rPr>
        <sz val="10"/>
        <color rgb="FF595959"/>
        <rFont val="맑은 고딕"/>
        <family val="0"/>
        <charset val="1"/>
      </rPr>
      <t xml:space="preserve">: 2026-03-01 ~ 2026-03-31</t>
    </r>
  </si>
  <si>
    <t xml:space="preserve">현장명</t>
  </si>
  <si>
    <t xml:space="preserve">담당자</t>
  </si>
  <si>
    <t xml:space="preserve">연락처</t>
  </si>
  <si>
    <t xml:space="preserve">안전 공급가</t>
  </si>
  <si>
    <t xml:space="preserve">잡자재 공급가</t>
  </si>
  <si>
    <t xml:space="preserve">공급가 합계</t>
  </si>
  <si>
    <t xml:space="preserve">부가세</t>
  </si>
  <si>
    <t xml:space="preserve">총합계</t>
  </si>
  <si>
    <r>
      <rPr>
        <sz val="10"/>
        <rFont val="맑은 고딕"/>
        <family val="0"/>
        <charset val="1"/>
      </rPr>
      <t xml:space="preserve">TKG</t>
    </r>
    <r>
      <rPr>
        <sz val="10"/>
        <rFont val="DejaVu Sans"/>
        <family val="2"/>
      </rPr>
      <t xml:space="preserve">태광그룹 </t>
    </r>
    <r>
      <rPr>
        <sz val="10"/>
        <rFont val="맑은 고딕"/>
        <family val="0"/>
        <charset val="1"/>
      </rPr>
      <t xml:space="preserve">15,16F </t>
    </r>
    <r>
      <rPr>
        <sz val="10"/>
        <rFont val="DejaVu Sans"/>
        <family val="2"/>
      </rPr>
      <t xml:space="preserve">인테리어 공사</t>
    </r>
  </si>
  <si>
    <t xml:space="preserve">차명수</t>
  </si>
  <si>
    <t xml:space="preserve">010-7741-8122</t>
  </si>
  <si>
    <t xml:space="preserve">도반빌딩 원상복구공사</t>
  </si>
  <si>
    <t xml:space="preserve">박홍철 소장님</t>
  </si>
  <si>
    <t xml:space="preserve">010-9425-1706</t>
  </si>
  <si>
    <r>
      <rPr>
        <sz val="10"/>
        <rFont val="맑은 고딕"/>
        <family val="0"/>
        <charset val="1"/>
      </rPr>
      <t xml:space="preserve">HSAD </t>
    </r>
    <r>
      <rPr>
        <sz val="10"/>
        <rFont val="DejaVu Sans"/>
        <family val="2"/>
      </rPr>
      <t xml:space="preserve">마포 오피스 </t>
    </r>
    <r>
      <rPr>
        <sz val="10"/>
        <rFont val="맑은 고딕"/>
        <family val="0"/>
        <charset val="1"/>
      </rPr>
      <t xml:space="preserve">14</t>
    </r>
    <r>
      <rPr>
        <sz val="10"/>
        <rFont val="DejaVu Sans"/>
        <family val="2"/>
      </rPr>
      <t xml:space="preserve">층 인테리어 공사</t>
    </r>
  </si>
  <si>
    <r>
      <rPr>
        <sz val="10"/>
        <rFont val="DejaVu Sans"/>
        <family val="2"/>
      </rPr>
      <t xml:space="preserve">정기범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이종민</t>
    </r>
  </si>
  <si>
    <t xml:space="preserve">010-6351-2817 / 010-7923-6632</t>
  </si>
  <si>
    <t xml:space="preserve">코오롱 그룹 사옥 코오롱 타워 인테리어 공사</t>
  </si>
  <si>
    <t xml:space="preserve">박세진</t>
  </si>
  <si>
    <t xml:space="preserve">010-7282-4242</t>
  </si>
  <si>
    <r>
      <rPr>
        <sz val="10"/>
        <rFont val="DejaVu Sans"/>
        <family val="2"/>
      </rPr>
      <t xml:space="preserve">대전 </t>
    </r>
    <r>
      <rPr>
        <sz val="10"/>
        <rFont val="맑은 고딕"/>
        <family val="0"/>
        <charset val="1"/>
      </rPr>
      <t xml:space="preserve">GS</t>
    </r>
    <r>
      <rPr>
        <sz val="10"/>
        <rFont val="DejaVu Sans"/>
        <family val="2"/>
      </rPr>
      <t xml:space="preserve">칼텍스 하자보수 현장</t>
    </r>
  </si>
  <si>
    <r>
      <rPr>
        <sz val="10"/>
        <rFont val="DejaVu Sans"/>
        <family val="2"/>
      </rPr>
      <t xml:space="preserve">그랑서울 타워</t>
    </r>
    <r>
      <rPr>
        <sz val="10"/>
        <rFont val="맑은 고딕"/>
        <family val="0"/>
        <charset val="1"/>
      </rPr>
      <t xml:space="preserve">1, </t>
    </r>
    <r>
      <rPr>
        <sz val="10"/>
        <rFont val="DejaVu Sans"/>
        <family val="2"/>
      </rPr>
      <t xml:space="preserve">타워</t>
    </r>
    <r>
      <rPr>
        <sz val="10"/>
        <rFont val="맑은 고딕"/>
        <family val="0"/>
        <charset val="1"/>
      </rPr>
      <t xml:space="preserve">2 </t>
    </r>
    <r>
      <rPr>
        <sz val="10"/>
        <rFont val="DejaVu Sans"/>
        <family val="2"/>
      </rPr>
      <t xml:space="preserve">비상승강기 전실 환경개선공사</t>
    </r>
  </si>
  <si>
    <t xml:space="preserve">이태정</t>
  </si>
  <si>
    <t xml:space="preserve">010-4254-4556</t>
  </si>
  <si>
    <t xml:space="preserve">영등포</t>
  </si>
  <si>
    <t xml:space="preserve">이재권</t>
  </si>
  <si>
    <t xml:space="preserve">010-8774-5300</t>
  </si>
  <si>
    <t xml:space="preserve">합  계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</si>
</sst>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DejaVu Sans"/>
      <family val="2"/>
    </font>
    <font>
      <b val="true"/>
      <sz val="14"/>
      <name val="맑은 고딕"/>
      <family val="0"/>
      <charset val="1"/>
    </font>
    <font>
      <sz val="10"/>
      <color rgb="FF595959"/>
      <name val="DejaVu Sans"/>
      <family val="2"/>
    </font>
    <font>
      <sz val="10"/>
      <color rgb="FF595959"/>
      <name val="맑은 고딕"/>
      <family val="0"/>
      <charset val="1"/>
    </font>
    <font>
      <b val="true"/>
      <sz val="10"/>
      <color rgb="FFFFFFFF"/>
      <name val="DejaVu Sans"/>
      <family val="2"/>
    </font>
    <font>
      <sz val="10"/>
      <name val="맑은 고딕"/>
      <family val="0"/>
      <charset val="1"/>
    </font>
    <font>
      <sz val="10"/>
      <name val="DejaVu Sans"/>
      <family val="2"/>
    </font>
    <font>
      <b val="true"/>
      <sz val="10"/>
      <name val="DejaVu Sans"/>
      <family val="2"/>
    </font>
    <font>
      <b val="true"/>
      <sz val="10"/>
      <name val="맑은 고딕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595959"/>
      </patternFill>
    </fill>
    <fill>
      <patternFill patternType="solid">
        <fgColor rgb="FFF2F5FB"/>
        <bgColor rgb="FFFFFFFF"/>
      </patternFill>
    </fill>
    <fill>
      <patternFill patternType="solid">
        <fgColor rgb="FFD9E1F2"/>
        <bgColor rgb="FFF2F5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2F5496"/>
      </left>
      <right style="medium">
        <color rgb="FF2F5496"/>
      </right>
      <top style="medium">
        <color rgb="FF2F5496"/>
      </top>
      <bottom style="medium">
        <color rgb="FF2F5496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5FB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6" min="4" style="0" width="15"/>
    <col collapsed="false" customWidth="true" hidden="false" outlineLevel="0" max="7" min="7" style="0" width="13"/>
    <col collapsed="false" customWidth="true" hidden="false" outlineLevel="0" max="8" min="8" style="0" width="15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4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1.75" hidden="false" customHeight="true" outlineLevel="0" collapsed="false">
      <c r="A5" s="4" t="s">
        <v>10</v>
      </c>
      <c r="B5" s="5" t="s">
        <v>11</v>
      </c>
      <c r="C5" s="6" t="s">
        <v>12</v>
      </c>
      <c r="D5" s="7" t="n">
        <v>4311000</v>
      </c>
      <c r="E5" s="7" t="n">
        <v>4497650</v>
      </c>
      <c r="F5" s="7" t="n">
        <f aca="false">D5+E5</f>
        <v>8808650</v>
      </c>
      <c r="G5" s="7" t="n">
        <f aca="false">F5*0.1</f>
        <v>880865</v>
      </c>
      <c r="H5" s="7" t="n">
        <f aca="false">F5+G5</f>
        <v>9689515</v>
      </c>
    </row>
    <row r="6" customFormat="false" ht="21.75" hidden="false" customHeight="true" outlineLevel="0" collapsed="false">
      <c r="A6" s="8" t="s">
        <v>13</v>
      </c>
      <c r="B6" s="9" t="s">
        <v>14</v>
      </c>
      <c r="C6" s="10" t="s">
        <v>15</v>
      </c>
      <c r="D6" s="11" t="n">
        <v>2861200</v>
      </c>
      <c r="E6" s="11" t="n">
        <v>1557600</v>
      </c>
      <c r="F6" s="11" t="n">
        <f aca="false">D6+E6</f>
        <v>4418800</v>
      </c>
      <c r="G6" s="11" t="n">
        <f aca="false">F6*0.1</f>
        <v>441880</v>
      </c>
      <c r="H6" s="11" t="n">
        <f aca="false">F6+G6</f>
        <v>4860680</v>
      </c>
    </row>
    <row r="7" customFormat="false" ht="21.75" hidden="false" customHeight="true" outlineLevel="0" collapsed="false">
      <c r="A7" s="4" t="s">
        <v>16</v>
      </c>
      <c r="B7" s="5" t="s">
        <v>17</v>
      </c>
      <c r="C7" s="6" t="s">
        <v>18</v>
      </c>
      <c r="D7" s="7" t="n">
        <v>794000</v>
      </c>
      <c r="E7" s="7" t="n">
        <v>1648800</v>
      </c>
      <c r="F7" s="7" t="n">
        <f aca="false">D7+E7</f>
        <v>2442800</v>
      </c>
      <c r="G7" s="7" t="n">
        <f aca="false">F7*0.1</f>
        <v>244280</v>
      </c>
      <c r="H7" s="7" t="n">
        <f aca="false">F7+G7</f>
        <v>2687080</v>
      </c>
    </row>
    <row r="8" customFormat="false" ht="21.75" hidden="false" customHeight="true" outlineLevel="0" collapsed="false">
      <c r="A8" s="8" t="s">
        <v>19</v>
      </c>
      <c r="B8" s="9" t="s">
        <v>20</v>
      </c>
      <c r="C8" s="10" t="s">
        <v>21</v>
      </c>
      <c r="D8" s="11" t="n">
        <v>733000</v>
      </c>
      <c r="E8" s="11" t="n">
        <v>1576700</v>
      </c>
      <c r="F8" s="11" t="n">
        <f aca="false">D8+E8</f>
        <v>2309700</v>
      </c>
      <c r="G8" s="11" t="n">
        <f aca="false">F8*0.1</f>
        <v>230970</v>
      </c>
      <c r="H8" s="11" t="n">
        <f aca="false">F8+G8</f>
        <v>2540670</v>
      </c>
    </row>
    <row r="9" customFormat="false" ht="21.75" hidden="false" customHeight="true" outlineLevel="0" collapsed="false">
      <c r="A9" s="12" t="s">
        <v>22</v>
      </c>
      <c r="B9" s="5" t="s">
        <v>11</v>
      </c>
      <c r="C9" s="6" t="s">
        <v>12</v>
      </c>
      <c r="D9" s="7" t="n">
        <v>135000</v>
      </c>
      <c r="E9" s="7" t="n">
        <v>410000</v>
      </c>
      <c r="F9" s="7" t="n">
        <f aca="false">D9+E9</f>
        <v>545000</v>
      </c>
      <c r="G9" s="7" t="n">
        <f aca="false">F9*0.1</f>
        <v>54500</v>
      </c>
      <c r="H9" s="7" t="n">
        <f aca="false">F9+G9</f>
        <v>599500</v>
      </c>
    </row>
    <row r="10" customFormat="false" ht="21.75" hidden="false" customHeight="true" outlineLevel="0" collapsed="false">
      <c r="A10" s="8" t="s">
        <v>23</v>
      </c>
      <c r="B10" s="9" t="s">
        <v>24</v>
      </c>
      <c r="C10" s="10" t="s">
        <v>25</v>
      </c>
      <c r="D10" s="11" t="n">
        <v>0</v>
      </c>
      <c r="E10" s="11" t="n">
        <v>361550</v>
      </c>
      <c r="F10" s="11" t="n">
        <f aca="false">D10+E10</f>
        <v>361550</v>
      </c>
      <c r="G10" s="11" t="n">
        <f aca="false">F10*0.1</f>
        <v>36155</v>
      </c>
      <c r="H10" s="11" t="n">
        <f aca="false">F10+G10</f>
        <v>397705</v>
      </c>
    </row>
    <row r="11" customFormat="false" ht="21.75" hidden="false" customHeight="true" outlineLevel="0" collapsed="false">
      <c r="A11" s="12" t="s">
        <v>26</v>
      </c>
      <c r="B11" s="5" t="s">
        <v>27</v>
      </c>
      <c r="C11" s="6" t="s">
        <v>28</v>
      </c>
      <c r="D11" s="7" t="n">
        <v>36000</v>
      </c>
      <c r="E11" s="7" t="n">
        <v>0</v>
      </c>
      <c r="F11" s="7" t="n">
        <f aca="false">D11+E11</f>
        <v>36000</v>
      </c>
      <c r="G11" s="7" t="n">
        <f aca="false">F11*0.1</f>
        <v>3600</v>
      </c>
      <c r="H11" s="7" t="n">
        <f aca="false">F11+G11</f>
        <v>39600</v>
      </c>
    </row>
    <row r="12" customFormat="false" ht="24.75" hidden="false" customHeight="true" outlineLevel="0" collapsed="false">
      <c r="A12" s="13" t="s">
        <v>29</v>
      </c>
      <c r="B12" s="13"/>
      <c r="C12" s="13"/>
      <c r="D12" s="14" t="n">
        <f aca="false">SUM(D5:D11)</f>
        <v>8870200</v>
      </c>
      <c r="E12" s="14" t="n">
        <f aca="false">SUM(E5:E11)</f>
        <v>10052300</v>
      </c>
      <c r="F12" s="14" t="n">
        <f aca="false">SUM(F5:F11)</f>
        <v>18922500</v>
      </c>
      <c r="G12" s="14" t="n">
        <f aca="false">SUM(G5:G11)</f>
        <v>1892250</v>
      </c>
      <c r="H12" s="14" t="n">
        <f aca="false">SUM(H5:H11)</f>
        <v>20814750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2026-04-06T05:18:25Z</dcterms:created>
  <dc:creator>openpyxl</dc:creator>
  <dc:description/>
  <dc:language>en-US</dc:language>
  <cp:lastModifiedBy/>
  <dcterms:modified xsi:type="dcterms:W3CDTF">2026-04-06T05:18:25Z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