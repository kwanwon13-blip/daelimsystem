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업무\마감\★퍼시스\26년 02월\"/>
    </mc:Choice>
  </mc:AlternateContent>
  <xr:revisionPtr revIDLastSave="0" documentId="13_ncr:1_{81B8B43D-ED74-4C29-BDA4-0A8629CAA500}" xr6:coauthVersionLast="47" xr6:coauthVersionMax="47" xr10:uidLastSave="{00000000-0000-0000-0000-000000000000}"/>
  <bookViews>
    <workbookView xWindow="38280" yWindow="-120" windowWidth="29040" windowHeight="15720" xr2:uid="{E473FEAD-7CC4-4EC4-AA25-13E2F3A2077F}"/>
  </bookViews>
  <sheets>
    <sheet name="안전" sheetId="10" r:id="rId1"/>
    <sheet name="잡자재" sheetId="9" r:id="rId2"/>
  </sheets>
  <definedNames>
    <definedName name="_xlnm._FilterDatabase" localSheetId="0" hidden="1">안전!$A$12:$H$37</definedName>
    <definedName name="_xlnm._FilterDatabase" localSheetId="1" hidden="1">잡자재!$A$12:$H$43</definedName>
    <definedName name="_xlnm.Print_Area" localSheetId="0">안전!$A$1:$H$37</definedName>
    <definedName name="_xlnm.Print_Area" localSheetId="1">잡자재!$A$1:$H$43</definedName>
    <definedName name="_xlnm.Print_Titles" localSheetId="0">안전!$12:$12</definedName>
    <definedName name="_xlnm.Print_Titles" localSheetId="1">잡자재!$12:$12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3" i="9" l="1"/>
  <c r="H15" i="9"/>
  <c r="H14" i="9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14" i="10"/>
  <c r="H13" i="10"/>
  <c r="H20" i="9"/>
  <c r="H19" i="9"/>
  <c r="H18" i="9"/>
  <c r="H17" i="9"/>
  <c r="H16" i="9"/>
  <c r="G35" i="10"/>
  <c r="E4" i="9"/>
  <c r="A4" i="9"/>
  <c r="G41" i="9" l="1"/>
  <c r="G36" i="10"/>
  <c r="G37" i="10" s="1"/>
  <c r="G42" i="9"/>
  <c r="G43" i="9" l="1"/>
</calcChain>
</file>

<file path=xl/sharedStrings.xml><?xml version="1.0" encoding="utf-8"?>
<sst xmlns="http://schemas.openxmlformats.org/spreadsheetml/2006/main" count="132" uniqueCount="93">
  <si>
    <t>거  래  명  세  서</t>
    <phoneticPr fontId="14" type="noConversion"/>
  </si>
  <si>
    <t>공급자</t>
    <phoneticPr fontId="14" type="noConversion"/>
  </si>
  <si>
    <t>사업자등록번호 : 113-86-19492</t>
    <phoneticPr fontId="14" type="noConversion"/>
  </si>
  <si>
    <t>공급받는자</t>
    <phoneticPr fontId="14" type="noConversion"/>
  </si>
  <si>
    <t>일자</t>
    <phoneticPr fontId="14" type="noConversion"/>
  </si>
  <si>
    <t>품목</t>
  </si>
  <si>
    <t>규격</t>
    <phoneticPr fontId="14" type="noConversion"/>
  </si>
  <si>
    <t>수량</t>
    <phoneticPr fontId="14" type="noConversion"/>
  </si>
  <si>
    <t>단가</t>
    <phoneticPr fontId="14" type="noConversion"/>
  </si>
  <si>
    <t>공급가액</t>
    <phoneticPr fontId="14" type="noConversion"/>
  </si>
  <si>
    <t>공급금액</t>
    <phoneticPr fontId="14" type="noConversion"/>
  </si>
  <si>
    <t>부가세</t>
    <phoneticPr fontId="14" type="noConversion"/>
  </si>
  <si>
    <t>총합계</t>
    <phoneticPr fontId="14" type="noConversion"/>
  </si>
  <si>
    <t>상               호 : 대 림 에 스 엠㈜</t>
    <phoneticPr fontId="14" type="noConversion"/>
  </si>
  <si>
    <t xml:space="preserve">대 표 자 성 명 :  남중석 </t>
    <phoneticPr fontId="14" type="noConversion"/>
  </si>
  <si>
    <t>주          소 : 서울시 구로구 고척동 75-1</t>
    <phoneticPr fontId="14" type="noConversion"/>
  </si>
  <si>
    <t>123전자타운 2동4층4101호</t>
    <phoneticPr fontId="14" type="noConversion"/>
  </si>
  <si>
    <t>업태:도매 외  / 업종:안전용품 잡자재 시설물설치</t>
    <phoneticPr fontId="14" type="noConversion"/>
  </si>
  <si>
    <t xml:space="preserve"> * 안전내역입니다.</t>
    <phoneticPr fontId="14" type="noConversion"/>
  </si>
  <si>
    <t>등록번호 : 215-81-20534</t>
    <phoneticPr fontId="14" type="noConversion"/>
  </si>
  <si>
    <t>상     호 :  ㈜퍼시스</t>
    <phoneticPr fontId="14" type="noConversion"/>
  </si>
  <si>
    <t>대 표 자 : 배상돈,박광호</t>
    <phoneticPr fontId="14" type="noConversion"/>
  </si>
  <si>
    <t>업태:제조 / 업종:사무용가구,실험실가구</t>
    <phoneticPr fontId="14" type="noConversion"/>
  </si>
  <si>
    <t>주      소 : 서울특별시 송파구 오금동 45-1</t>
    <phoneticPr fontId="14" type="noConversion"/>
  </si>
  <si>
    <t xml:space="preserve"> 퍼시스 서울본사</t>
    <phoneticPr fontId="14" type="noConversion"/>
  </si>
  <si>
    <t xml:space="preserve"> * 잡자재내역입니다.</t>
    <phoneticPr fontId="14" type="noConversion"/>
  </si>
  <si>
    <t>기  간: 2026-02-01부터 2026-02-28까지</t>
    <phoneticPr fontId="14" type="noConversion"/>
  </si>
  <si>
    <t>천막(텐텐지)1.8*100M 백색</t>
  </si>
  <si>
    <t>마대</t>
  </si>
  <si>
    <t>폴리베니아 3T</t>
  </si>
  <si>
    <t>900*1800/백색</t>
  </si>
  <si>
    <t>갈대비A</t>
  </si>
  <si>
    <t>고운비</t>
  </si>
  <si>
    <t>황색외곽쓰레받이</t>
  </si>
  <si>
    <t>거래처:TKG태광그룹 15,16F 인테리어 공사</t>
    <phoneticPr fontId="14" type="noConversion"/>
  </si>
  <si>
    <t>안전모(투명창)</t>
  </si>
  <si>
    <t>현장소장</t>
  </si>
  <si>
    <t>관리자</t>
  </si>
  <si>
    <t>안전모(보안경일체)</t>
  </si>
  <si>
    <t>안전모 투구자동</t>
  </si>
  <si>
    <t>신호수</t>
  </si>
  <si>
    <t>화기감시자</t>
  </si>
  <si>
    <t>안전관리자</t>
  </si>
  <si>
    <t>방진마스크 3M 8822</t>
  </si>
  <si>
    <t>1BOX=10EA</t>
  </si>
  <si>
    <t>소화기3.3KG</t>
  </si>
  <si>
    <t>전체식안전벨트 TA-21</t>
  </si>
  <si>
    <t>보안면 F-63A(OTOS)</t>
  </si>
  <si>
    <t>투명/헬멧용</t>
  </si>
  <si>
    <t>불티방지커버</t>
  </si>
  <si>
    <t>용접우산</t>
  </si>
  <si>
    <t>안전화 LT-106</t>
  </si>
  <si>
    <t>위험테이프</t>
  </si>
  <si>
    <t>10*450</t>
  </si>
  <si>
    <t>라바콘</t>
  </si>
  <si>
    <t>라바콘걸이대</t>
  </si>
  <si>
    <t>장갑 3M(슈퍼그립200)</t>
  </si>
  <si>
    <t>낙상경보기(우마)</t>
  </si>
  <si>
    <t>웨빙띠(접근금지바)</t>
  </si>
  <si>
    <t>38m*100M*오렌지</t>
  </si>
  <si>
    <t>pp로프 16mm</t>
  </si>
  <si>
    <t>불티방지포(버미글라스)</t>
  </si>
  <si>
    <t>종이각대/코너각대</t>
  </si>
  <si>
    <t>3T*50*2000</t>
  </si>
  <si>
    <t>마스킹테이프 5CM</t>
  </si>
  <si>
    <t>종이테이프</t>
  </si>
  <si>
    <t>80KG</t>
  </si>
  <si>
    <t>수수비</t>
  </si>
  <si>
    <t>커버링테이프</t>
  </si>
  <si>
    <t>2400</t>
  </si>
  <si>
    <t>커터칼 대형</t>
  </si>
  <si>
    <t>커터칼날</t>
  </si>
  <si>
    <t>25mm (10장)</t>
  </si>
  <si>
    <t>줄자</t>
  </si>
  <si>
    <t>5.5M</t>
  </si>
  <si>
    <t>사다리 A형(3단)</t>
  </si>
  <si>
    <t>운반 구르마</t>
  </si>
  <si>
    <t>OPP테이프</t>
  </si>
  <si>
    <t>적색</t>
  </si>
  <si>
    <t>청색</t>
  </si>
  <si>
    <t>황색</t>
  </si>
  <si>
    <t>PP마대</t>
  </si>
  <si>
    <t>락카스프레이</t>
  </si>
  <si>
    <t>보양테이프</t>
  </si>
  <si>
    <t>커트에이스</t>
  </si>
  <si>
    <t>각반</t>
  </si>
  <si>
    <t>프라이드</t>
  </si>
  <si>
    <t>패션턱끈</t>
  </si>
  <si>
    <t>머리보호내피</t>
  </si>
  <si>
    <t>안전모(지벤)</t>
  </si>
  <si>
    <t>각반 (무재해)</t>
  </si>
  <si>
    <t>안전조끼</t>
  </si>
  <si>
    <t>작업자용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</si>
</sst>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_);[Red]\(#,##0\)"/>
    <numFmt numFmtId="177" formatCode="m&quot;월&quot;\ d&quot;일&quot;;@"/>
  </numFmts>
  <fonts count="27" x14ac:knownFonts="1">
    <font>
      <sz val="10"/>
      <color indexed="8"/>
      <name val="MS Sans Serif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b/>
      <sz val="12"/>
      <color indexed="8"/>
      <name val="돋움"/>
      <family val="3"/>
      <charset val="129"/>
    </font>
    <font>
      <sz val="12"/>
      <color indexed="8"/>
      <name val="돋움"/>
      <family val="3"/>
      <charset val="129"/>
    </font>
    <font>
      <sz val="14"/>
      <color indexed="8"/>
      <name val="돋움"/>
      <family val="3"/>
      <charset val="129"/>
    </font>
    <font>
      <sz val="14"/>
      <color indexed="8"/>
      <name val="MS Sans Serif"/>
    </font>
    <font>
      <b/>
      <sz val="14"/>
      <color indexed="8"/>
      <name val="돋움"/>
      <family val="3"/>
      <charset val="129"/>
    </font>
    <font>
      <b/>
      <sz val="11"/>
      <color indexed="8"/>
      <name val="돋움"/>
      <family val="3"/>
      <charset val="129"/>
    </font>
    <font>
      <sz val="11"/>
      <color indexed="8"/>
      <name val="MS Sans Serif"/>
    </font>
    <font>
      <sz val="11"/>
      <color indexed="8"/>
      <name val="돋움"/>
      <family val="3"/>
      <charset val="129"/>
    </font>
    <font>
      <sz val="11"/>
      <color theme="1"/>
      <name val="돋움"/>
      <family val="3"/>
      <charset val="129"/>
    </font>
    <font>
      <b/>
      <sz val="28"/>
      <name val="돋움"/>
      <family val="3"/>
      <charset val="129"/>
    </font>
    <font>
      <sz val="10"/>
      <color indexed="8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1" fontId="26" fillId="0" borderId="0" applyFont="0" applyFill="0" applyBorder="0" applyAlignment="0" applyProtection="0">
      <alignment vertical="center"/>
    </xf>
  </cellStyleXfs>
  <cellXfs count="55">
    <xf numFmtId="0" fontId="0" fillId="0" borderId="0" xfId="0"/>
    <xf numFmtId="0" fontId="0" fillId="0" borderId="0" xfId="0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176" fontId="16" fillId="0" borderId="0" xfId="0" applyNumberFormat="1" applyFont="1" applyAlignment="1">
      <alignment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/>
    <xf numFmtId="0" fontId="18" fillId="0" borderId="0" xfId="0" applyFont="1" applyAlignment="1">
      <alignment horizontal="center"/>
    </xf>
    <xf numFmtId="0" fontId="15" fillId="0" borderId="0" xfId="0" applyFont="1" applyAlignment="1">
      <alignment vertical="center"/>
    </xf>
    <xf numFmtId="0" fontId="20" fillId="0" borderId="1" xfId="0" applyFont="1" applyBorder="1" applyAlignment="1">
      <alignment vertical="center"/>
    </xf>
    <xf numFmtId="176" fontId="20" fillId="0" borderId="1" xfId="0" applyNumberFormat="1" applyFont="1" applyBorder="1" applyAlignment="1">
      <alignment vertical="center"/>
    </xf>
    <xf numFmtId="0" fontId="20" fillId="0" borderId="2" xfId="0" applyFont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177" fontId="18" fillId="0" borderId="0" xfId="0" applyNumberFormat="1" applyFont="1"/>
    <xf numFmtId="177" fontId="18" fillId="0" borderId="0" xfId="0" applyNumberFormat="1" applyFont="1" applyAlignment="1">
      <alignment vertical="center"/>
    </xf>
    <xf numFmtId="177" fontId="20" fillId="0" borderId="2" xfId="0" applyNumberFormat="1" applyFont="1" applyBorder="1" applyAlignment="1">
      <alignment vertical="center"/>
    </xf>
    <xf numFmtId="177" fontId="17" fillId="0" borderId="0" xfId="0" applyNumberFormat="1" applyFont="1"/>
    <xf numFmtId="177" fontId="0" fillId="0" borderId="0" xfId="0" applyNumberFormat="1"/>
    <xf numFmtId="176" fontId="18" fillId="0" borderId="0" xfId="0" applyNumberFormat="1" applyFont="1" applyAlignment="1">
      <alignment vertical="center"/>
    </xf>
    <xf numFmtId="176" fontId="15" fillId="0" borderId="0" xfId="0" applyNumberFormat="1" applyFont="1" applyAlignment="1">
      <alignment vertical="center"/>
    </xf>
    <xf numFmtId="176" fontId="16" fillId="0" borderId="0" xfId="0" applyNumberFormat="1" applyFont="1" applyAlignment="1">
      <alignment horizontal="center"/>
    </xf>
    <xf numFmtId="176" fontId="0" fillId="0" borderId="0" xfId="0" applyNumberFormat="1"/>
    <xf numFmtId="0" fontId="15" fillId="0" borderId="0" xfId="0" applyFont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176" fontId="21" fillId="2" borderId="2" xfId="0" applyNumberFormat="1" applyFont="1" applyFill="1" applyBorder="1" applyAlignment="1">
      <alignment horizontal="center" vertical="center"/>
    </xf>
    <xf numFmtId="0" fontId="22" fillId="0" borderId="0" xfId="0" applyFont="1"/>
    <xf numFmtId="0" fontId="23" fillId="0" borderId="2" xfId="0" applyFont="1" applyBorder="1" applyAlignment="1">
      <alignment vertical="center"/>
    </xf>
    <xf numFmtId="0" fontId="25" fillId="0" borderId="0" xfId="0" applyFont="1" applyAlignment="1">
      <alignment horizontal="center" vertical="center"/>
    </xf>
    <xf numFmtId="0" fontId="7" fillId="0" borderId="2" xfId="13" applyBorder="1">
      <alignment vertical="center"/>
    </xf>
    <xf numFmtId="41" fontId="24" fillId="0" borderId="2" xfId="20" applyFont="1" applyBorder="1">
      <alignment vertical="center"/>
    </xf>
    <xf numFmtId="41" fontId="23" fillId="0" borderId="2" xfId="20" applyFont="1" applyBorder="1" applyAlignment="1">
      <alignment vertical="center"/>
    </xf>
    <xf numFmtId="41" fontId="7" fillId="0" borderId="2" xfId="20" applyFont="1" applyBorder="1">
      <alignment vertical="center"/>
    </xf>
    <xf numFmtId="0" fontId="20" fillId="0" borderId="2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177" fontId="20" fillId="2" borderId="2" xfId="0" applyNumberFormat="1" applyFont="1" applyFill="1" applyBorder="1" applyAlignment="1">
      <alignment horizontal="center" vertical="center" textRotation="255" wrapText="1"/>
    </xf>
    <xf numFmtId="0" fontId="15" fillId="0" borderId="3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5" fillId="2" borderId="2" xfId="0" applyFont="1" applyFill="1" applyBorder="1" applyAlignment="1">
      <alignment horizontal="center" vertical="center" textRotation="255"/>
    </xf>
    <xf numFmtId="0" fontId="15" fillId="0" borderId="2" xfId="0" applyFont="1" applyBorder="1" applyAlignment="1">
      <alignment horizontal="left" vertical="center"/>
    </xf>
    <xf numFmtId="14" fontId="7" fillId="0" borderId="3" xfId="13" applyNumberFormat="1" applyBorder="1" applyAlignment="1">
      <alignment horizontal="center" vertical="center"/>
    </xf>
    <xf numFmtId="14" fontId="7" fillId="0" borderId="5" xfId="13" applyNumberFormat="1" applyBorder="1" applyAlignment="1">
      <alignment horizontal="center" vertical="center"/>
    </xf>
    <xf numFmtId="177" fontId="21" fillId="2" borderId="2" xfId="0" applyNumberFormat="1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/>
    </xf>
    <xf numFmtId="176" fontId="21" fillId="2" borderId="3" xfId="0" applyNumberFormat="1" applyFont="1" applyFill="1" applyBorder="1" applyAlignment="1">
      <alignment horizontal="center" vertical="center"/>
    </xf>
    <xf numFmtId="176" fontId="21" fillId="2" borderId="5" xfId="0" applyNumberFormat="1" applyFont="1" applyFill="1" applyBorder="1" applyAlignment="1">
      <alignment horizontal="center" vertical="center"/>
    </xf>
  </cellXfs>
  <cellStyles count="21">
    <cellStyle name="쉼표 [0]" xfId="20" builtinId="6"/>
    <cellStyle name="표준" xfId="0" builtinId="0"/>
    <cellStyle name="표준 10" xfId="3" xr:uid="{0FF807F0-F134-437D-BF71-9A8F87F6669E}"/>
    <cellStyle name="표준 11" xfId="6" xr:uid="{BC00A47A-7717-401F-BD6E-6941F82A8568}"/>
    <cellStyle name="표준 12" xfId="5" xr:uid="{6EB90457-728E-4784-90EA-CF98691CC0CB}"/>
    <cellStyle name="표준 13" xfId="1" xr:uid="{750772E5-D9E5-451A-9C12-8830E6159BC2}"/>
    <cellStyle name="표준 14" xfId="2" xr:uid="{E51A4D7D-982F-4708-8985-72038D4978B8}"/>
    <cellStyle name="표준 15" xfId="14" xr:uid="{3555DF9C-13A3-4319-882E-6B2233242D6A}"/>
    <cellStyle name="표준 16" xfId="15" xr:uid="{086C08AD-922F-4C9B-86AE-91D8BED70B91}"/>
    <cellStyle name="표준 17" xfId="16" xr:uid="{123D2BA1-9ED2-402E-BA2E-93F8E2C618B8}"/>
    <cellStyle name="표준 18" xfId="17" xr:uid="{0502C844-84D6-42E9-9351-B53EA6797D4F}"/>
    <cellStyle name="표준 19" xfId="18" xr:uid="{D39685EF-D75C-4C75-AC06-DA60B6D0629F}"/>
    <cellStyle name="표준 2" xfId="8" xr:uid="{4020D87D-2E46-4E0F-953E-82F1C9084B15}"/>
    <cellStyle name="표준 20" xfId="19" xr:uid="{41D3274A-A6EB-4DC8-8F07-829749047F3B}"/>
    <cellStyle name="표준 3" xfId="9" xr:uid="{A0098EC4-D76A-41C1-A5A3-68DF0333E28A}"/>
    <cellStyle name="표준 4" xfId="10" xr:uid="{175D0F0B-B254-4D2C-8DD2-A9AA52F473A3}"/>
    <cellStyle name="표준 5" xfId="11" xr:uid="{D468E79C-43EB-40AD-B014-17CA87A69762}"/>
    <cellStyle name="표준 6" xfId="13" xr:uid="{88AD1992-274C-4CA2-863D-76DA0D11F74B}"/>
    <cellStyle name="표준 7" xfId="7" xr:uid="{3BABDF92-43FC-42DB-9393-0978B223245E}"/>
    <cellStyle name="표준 8" xfId="12" xr:uid="{C7A213C8-C4BF-4E64-B33C-0C3827681D29}"/>
    <cellStyle name="표준 9" xfId="4" xr:uid="{7CE594DF-F5EC-45CE-B289-C66A4B546E5A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</xdr:row>
      <xdr:rowOff>285750</xdr:rowOff>
    </xdr:from>
    <xdr:to>
      <xdr:col>4</xdr:col>
      <xdr:colOff>0</xdr:colOff>
      <xdr:row>5</xdr:row>
      <xdr:rowOff>231775</xdr:rowOff>
    </xdr:to>
    <xdr:pic>
      <xdr:nvPicPr>
        <xdr:cNvPr id="2" name="Picture 19" descr="에스엠도장">
          <a:extLst>
            <a:ext uri="{FF2B5EF4-FFF2-40B4-BE49-F238E27FC236}">
              <a16:creationId xmlns:a16="http://schemas.microsoft.com/office/drawing/2014/main" id="{BF01DBB6-677E-40BD-BF8C-4C6EA36D1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72075" y="1809750"/>
          <a:ext cx="0" cy="32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4</xdr:row>
      <xdr:rowOff>285750</xdr:rowOff>
    </xdr:from>
    <xdr:to>
      <xdr:col>4</xdr:col>
      <xdr:colOff>0</xdr:colOff>
      <xdr:row>5</xdr:row>
      <xdr:rowOff>231775</xdr:rowOff>
    </xdr:to>
    <xdr:pic>
      <xdr:nvPicPr>
        <xdr:cNvPr id="3" name="Picture 19" descr="에스엠도장">
          <a:extLst>
            <a:ext uri="{FF2B5EF4-FFF2-40B4-BE49-F238E27FC236}">
              <a16:creationId xmlns:a16="http://schemas.microsoft.com/office/drawing/2014/main" id="{1D0037A1-C4BE-4EB6-8660-281E55D94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72075" y="1809750"/>
          <a:ext cx="0" cy="32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61913</xdr:colOff>
      <xdr:row>4</xdr:row>
      <xdr:rowOff>228600</xdr:rowOff>
    </xdr:from>
    <xdr:to>
      <xdr:col>3</xdr:col>
      <xdr:colOff>1079500</xdr:colOff>
      <xdr:row>7</xdr:row>
      <xdr:rowOff>20638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199CC99-DE69-490B-A5DA-FC3C0EE67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5213" y="1752600"/>
          <a:ext cx="1017587" cy="9255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</xdr:row>
      <xdr:rowOff>285750</xdr:rowOff>
    </xdr:from>
    <xdr:to>
      <xdr:col>4</xdr:col>
      <xdr:colOff>0</xdr:colOff>
      <xdr:row>5</xdr:row>
      <xdr:rowOff>231775</xdr:rowOff>
    </xdr:to>
    <xdr:pic>
      <xdr:nvPicPr>
        <xdr:cNvPr id="2" name="Picture 19" descr="에스엠도장">
          <a:extLst>
            <a:ext uri="{FF2B5EF4-FFF2-40B4-BE49-F238E27FC236}">
              <a16:creationId xmlns:a16="http://schemas.microsoft.com/office/drawing/2014/main" id="{848ECDE4-497B-4908-AA26-A0A45090E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72075" y="1809750"/>
          <a:ext cx="0" cy="32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4</xdr:row>
      <xdr:rowOff>285750</xdr:rowOff>
    </xdr:from>
    <xdr:to>
      <xdr:col>4</xdr:col>
      <xdr:colOff>0</xdr:colOff>
      <xdr:row>5</xdr:row>
      <xdr:rowOff>231775</xdr:rowOff>
    </xdr:to>
    <xdr:pic>
      <xdr:nvPicPr>
        <xdr:cNvPr id="3" name="Picture 19" descr="에스엠도장">
          <a:extLst>
            <a:ext uri="{FF2B5EF4-FFF2-40B4-BE49-F238E27FC236}">
              <a16:creationId xmlns:a16="http://schemas.microsoft.com/office/drawing/2014/main" id="{E025A57F-0662-4F92-9D13-06F5D6636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72075" y="1809750"/>
          <a:ext cx="0" cy="327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61913</xdr:colOff>
      <xdr:row>4</xdr:row>
      <xdr:rowOff>228600</xdr:rowOff>
    </xdr:from>
    <xdr:to>
      <xdr:col>3</xdr:col>
      <xdr:colOff>1079500</xdr:colOff>
      <xdr:row>7</xdr:row>
      <xdr:rowOff>20638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44DE33A-3C7B-46D7-BFE4-B1429DE14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5213" y="1752600"/>
          <a:ext cx="1017587" cy="9223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7CA8B-5820-434C-B37F-CFAE14C56C07}">
  <sheetPr>
    <pageSetUpPr fitToPage="1"/>
  </sheetPr>
  <dimension ref="A1:H38"/>
  <sheetViews>
    <sheetView tabSelected="1" topLeftCell="A3" zoomScale="75" zoomScaleNormal="75" workbookViewId="0">
      <selection activeCell="A14" sqref="A14:B34"/>
    </sheetView>
  </sheetViews>
  <sheetFormatPr defaultRowHeight="12.75" x14ac:dyDescent="0.2"/>
  <cols>
    <col min="1" max="1" width="7.28515625" style="20" customWidth="1"/>
    <col min="2" max="2" width="9.85546875" style="20" customWidth="1"/>
    <col min="3" max="3" width="36" customWidth="1"/>
    <col min="4" max="4" width="24.42578125" style="1" customWidth="1"/>
    <col min="5" max="5" width="12.85546875" customWidth="1"/>
    <col min="6" max="6" width="19.140625" style="24" customWidth="1"/>
    <col min="7" max="7" width="25.140625" customWidth="1"/>
    <col min="8" max="8" width="15" customWidth="1"/>
  </cols>
  <sheetData>
    <row r="1" spans="1:8" s="9" customFormat="1" ht="30" customHeight="1" x14ac:dyDescent="0.35">
      <c r="A1" s="16"/>
      <c r="B1" s="17"/>
      <c r="C1" s="7"/>
      <c r="D1" s="8"/>
      <c r="E1" s="7"/>
      <c r="F1" s="21"/>
      <c r="G1" s="7"/>
      <c r="H1" s="7"/>
    </row>
    <row r="2" spans="1:8" s="9" customFormat="1" ht="30" customHeight="1" x14ac:dyDescent="0.35">
      <c r="A2" s="16"/>
      <c r="B2" s="17"/>
      <c r="C2" s="6"/>
      <c r="D2" s="10"/>
      <c r="E2" s="30" t="s">
        <v>0</v>
      </c>
      <c r="F2" s="22"/>
      <c r="G2" s="11"/>
      <c r="H2" s="11"/>
    </row>
    <row r="3" spans="1:8" s="9" customFormat="1" ht="30" customHeight="1" x14ac:dyDescent="0.35">
      <c r="A3" s="16"/>
      <c r="B3" s="17"/>
      <c r="C3" s="25"/>
      <c r="D3" s="25"/>
      <c r="E3" s="25"/>
      <c r="F3" s="39"/>
      <c r="G3" s="39"/>
      <c r="H3" s="39"/>
    </row>
    <row r="4" spans="1:8" s="9" customFormat="1" ht="30" customHeight="1" x14ac:dyDescent="0.35">
      <c r="A4" s="40" t="s">
        <v>26</v>
      </c>
      <c r="B4" s="40"/>
      <c r="C4" s="40"/>
      <c r="D4" s="40"/>
      <c r="E4" s="12" t="s">
        <v>34</v>
      </c>
      <c r="F4" s="13"/>
      <c r="G4" s="12"/>
      <c r="H4" s="13"/>
    </row>
    <row r="5" spans="1:8" s="9" customFormat="1" ht="30" customHeight="1" x14ac:dyDescent="0.35">
      <c r="A5" s="41" t="s">
        <v>1</v>
      </c>
      <c r="B5" s="42" t="s">
        <v>2</v>
      </c>
      <c r="C5" s="43"/>
      <c r="D5" s="44"/>
      <c r="E5" s="45" t="s">
        <v>3</v>
      </c>
      <c r="F5" s="46" t="s">
        <v>19</v>
      </c>
      <c r="G5" s="46"/>
      <c r="H5" s="46"/>
    </row>
    <row r="6" spans="1:8" s="9" customFormat="1" ht="29.25" customHeight="1" x14ac:dyDescent="0.35">
      <c r="A6" s="41"/>
      <c r="B6" s="36" t="s">
        <v>13</v>
      </c>
      <c r="C6" s="37"/>
      <c r="D6" s="38"/>
      <c r="E6" s="45"/>
      <c r="F6" s="35" t="s">
        <v>20</v>
      </c>
      <c r="G6" s="35"/>
      <c r="H6" s="35"/>
    </row>
    <row r="7" spans="1:8" s="9" customFormat="1" ht="30" customHeight="1" x14ac:dyDescent="0.35">
      <c r="A7" s="41"/>
      <c r="B7" s="36" t="s">
        <v>14</v>
      </c>
      <c r="C7" s="37"/>
      <c r="D7" s="38"/>
      <c r="E7" s="45"/>
      <c r="F7" s="35" t="s">
        <v>21</v>
      </c>
      <c r="G7" s="35"/>
      <c r="H7" s="35"/>
    </row>
    <row r="8" spans="1:8" s="9" customFormat="1" ht="30" customHeight="1" x14ac:dyDescent="0.35">
      <c r="A8" s="41"/>
      <c r="B8" s="36" t="s">
        <v>15</v>
      </c>
      <c r="C8" s="37"/>
      <c r="D8" s="38"/>
      <c r="E8" s="45"/>
      <c r="F8" s="35" t="s">
        <v>23</v>
      </c>
      <c r="G8" s="35"/>
      <c r="H8" s="35"/>
    </row>
    <row r="9" spans="1:8" s="9" customFormat="1" ht="30" customHeight="1" x14ac:dyDescent="0.35">
      <c r="A9" s="41"/>
      <c r="B9" s="36" t="s">
        <v>16</v>
      </c>
      <c r="C9" s="37"/>
      <c r="D9" s="38"/>
      <c r="E9" s="45"/>
      <c r="F9" s="35" t="s">
        <v>24</v>
      </c>
      <c r="G9" s="35"/>
      <c r="H9" s="35"/>
    </row>
    <row r="10" spans="1:8" s="9" customFormat="1" ht="30" customHeight="1" x14ac:dyDescent="0.35">
      <c r="A10" s="18"/>
      <c r="B10" s="18" t="s">
        <v>17</v>
      </c>
      <c r="C10" s="14"/>
      <c r="D10" s="15"/>
      <c r="E10" s="14"/>
      <c r="F10" s="35" t="s">
        <v>22</v>
      </c>
      <c r="G10" s="35"/>
      <c r="H10" s="35"/>
    </row>
    <row r="11" spans="1:8" s="9" customFormat="1" ht="30" customHeight="1" x14ac:dyDescent="0.35">
      <c r="A11" s="36" t="s">
        <v>18</v>
      </c>
      <c r="B11" s="37"/>
      <c r="C11" s="37"/>
      <c r="D11" s="37"/>
      <c r="E11" s="37"/>
      <c r="F11" s="37"/>
      <c r="G11" s="37"/>
      <c r="H11" s="38"/>
    </row>
    <row r="12" spans="1:8" s="28" customFormat="1" ht="30" customHeight="1" x14ac:dyDescent="0.2">
      <c r="A12" s="49" t="s">
        <v>4</v>
      </c>
      <c r="B12" s="49"/>
      <c r="C12" s="26" t="s">
        <v>5</v>
      </c>
      <c r="D12" s="26" t="s">
        <v>6</v>
      </c>
      <c r="E12" s="26" t="s">
        <v>7</v>
      </c>
      <c r="F12" s="27" t="s">
        <v>8</v>
      </c>
      <c r="G12" s="27" t="s">
        <v>9</v>
      </c>
      <c r="H12" s="27" t="s">
        <v>11</v>
      </c>
    </row>
    <row r="13" spans="1:8" s="28" customFormat="1" ht="30" customHeight="1" x14ac:dyDescent="0.2">
      <c r="A13" s="47">
        <v>46080</v>
      </c>
      <c r="B13" s="48"/>
      <c r="C13" s="29" t="s">
        <v>35</v>
      </c>
      <c r="D13" s="29" t="s">
        <v>36</v>
      </c>
      <c r="E13" s="29">
        <v>1</v>
      </c>
      <c r="F13" s="33">
        <v>5500</v>
      </c>
      <c r="G13" s="32">
        <v>5500</v>
      </c>
      <c r="H13" s="33">
        <f t="shared" ref="H13:H34" si="0">G13*0.1</f>
        <v>550</v>
      </c>
    </row>
    <row r="14" spans="1:8" s="28" customFormat="1" ht="30" customHeight="1" x14ac:dyDescent="0.2">
      <c r="A14" s="47">
        <v>46080</v>
      </c>
      <c r="B14" s="48"/>
      <c r="C14" s="29" t="s">
        <v>35</v>
      </c>
      <c r="D14" s="29" t="s">
        <v>37</v>
      </c>
      <c r="E14" s="29">
        <v>3</v>
      </c>
      <c r="F14" s="33">
        <v>5500</v>
      </c>
      <c r="G14" s="32">
        <v>16500</v>
      </c>
      <c r="H14" s="33">
        <f t="shared" si="0"/>
        <v>1650</v>
      </c>
    </row>
    <row r="15" spans="1:8" s="28" customFormat="1" ht="30" customHeight="1" x14ac:dyDescent="0.2">
      <c r="A15" s="47">
        <v>46080</v>
      </c>
      <c r="B15" s="48"/>
      <c r="C15" s="29" t="s">
        <v>38</v>
      </c>
      <c r="D15" s="29"/>
      <c r="E15" s="29">
        <v>20</v>
      </c>
      <c r="F15" s="33">
        <v>11000</v>
      </c>
      <c r="G15" s="32">
        <v>220000</v>
      </c>
      <c r="H15" s="33">
        <f t="shared" si="0"/>
        <v>22000</v>
      </c>
    </row>
    <row r="16" spans="1:8" s="28" customFormat="1" ht="30" customHeight="1" x14ac:dyDescent="0.2">
      <c r="A16" s="47">
        <v>46080</v>
      </c>
      <c r="B16" s="48"/>
      <c r="C16" s="29" t="s">
        <v>39</v>
      </c>
      <c r="D16" s="29"/>
      <c r="E16" s="29">
        <v>80</v>
      </c>
      <c r="F16" s="33">
        <v>4500</v>
      </c>
      <c r="G16" s="32">
        <v>360000</v>
      </c>
      <c r="H16" s="33">
        <f t="shared" si="0"/>
        <v>36000</v>
      </c>
    </row>
    <row r="17" spans="1:8" s="28" customFormat="1" ht="30" customHeight="1" x14ac:dyDescent="0.2">
      <c r="A17" s="47">
        <v>46080</v>
      </c>
      <c r="B17" s="48"/>
      <c r="C17" s="29" t="s">
        <v>39</v>
      </c>
      <c r="D17" s="29" t="s">
        <v>40</v>
      </c>
      <c r="E17" s="29">
        <v>5</v>
      </c>
      <c r="F17" s="33">
        <v>4500</v>
      </c>
      <c r="G17" s="32">
        <v>22500</v>
      </c>
      <c r="H17" s="33">
        <f t="shared" si="0"/>
        <v>2250</v>
      </c>
    </row>
    <row r="18" spans="1:8" s="28" customFormat="1" ht="30" customHeight="1" x14ac:dyDescent="0.2">
      <c r="A18" s="47">
        <v>46080</v>
      </c>
      <c r="B18" s="48"/>
      <c r="C18" s="29" t="s">
        <v>39</v>
      </c>
      <c r="D18" s="29" t="s">
        <v>41</v>
      </c>
      <c r="E18" s="29">
        <v>5</v>
      </c>
      <c r="F18" s="33">
        <v>4500</v>
      </c>
      <c r="G18" s="32">
        <v>22500</v>
      </c>
      <c r="H18" s="33">
        <f t="shared" si="0"/>
        <v>2250</v>
      </c>
    </row>
    <row r="19" spans="1:8" s="28" customFormat="1" ht="30" customHeight="1" x14ac:dyDescent="0.2">
      <c r="A19" s="47">
        <v>46080</v>
      </c>
      <c r="B19" s="48"/>
      <c r="C19" s="29" t="s">
        <v>39</v>
      </c>
      <c r="D19" s="29" t="s">
        <v>42</v>
      </c>
      <c r="E19" s="29">
        <v>2</v>
      </c>
      <c r="F19" s="33">
        <v>4500</v>
      </c>
      <c r="G19" s="32">
        <v>9000</v>
      </c>
      <c r="H19" s="33">
        <f t="shared" si="0"/>
        <v>900</v>
      </c>
    </row>
    <row r="20" spans="1:8" s="28" customFormat="1" ht="30" customHeight="1" x14ac:dyDescent="0.2">
      <c r="A20" s="47">
        <v>46080</v>
      </c>
      <c r="B20" s="48"/>
      <c r="C20" s="29" t="s">
        <v>43</v>
      </c>
      <c r="D20" s="29" t="s">
        <v>44</v>
      </c>
      <c r="E20" s="29">
        <v>480</v>
      </c>
      <c r="F20" s="33">
        <v>1400</v>
      </c>
      <c r="G20" s="32">
        <v>672000</v>
      </c>
      <c r="H20" s="33">
        <f t="shared" si="0"/>
        <v>67200</v>
      </c>
    </row>
    <row r="21" spans="1:8" s="28" customFormat="1" ht="30" customHeight="1" x14ac:dyDescent="0.2">
      <c r="A21" s="47">
        <v>46080</v>
      </c>
      <c r="B21" s="48"/>
      <c r="C21" s="29" t="s">
        <v>45</v>
      </c>
      <c r="D21" s="29"/>
      <c r="E21" s="29">
        <v>20</v>
      </c>
      <c r="F21" s="33">
        <v>16500</v>
      </c>
      <c r="G21" s="32">
        <v>330000</v>
      </c>
      <c r="H21" s="33">
        <f t="shared" si="0"/>
        <v>33000</v>
      </c>
    </row>
    <row r="22" spans="1:8" s="28" customFormat="1" ht="30" customHeight="1" x14ac:dyDescent="0.2">
      <c r="A22" s="47">
        <v>46080</v>
      </c>
      <c r="B22" s="48"/>
      <c r="C22" s="29" t="s">
        <v>46</v>
      </c>
      <c r="D22" s="29"/>
      <c r="E22" s="29">
        <v>10</v>
      </c>
      <c r="F22" s="33">
        <v>26000</v>
      </c>
      <c r="G22" s="32">
        <v>260000</v>
      </c>
      <c r="H22" s="33">
        <f t="shared" si="0"/>
        <v>26000</v>
      </c>
    </row>
    <row r="23" spans="1:8" s="28" customFormat="1" ht="30" customHeight="1" x14ac:dyDescent="0.2">
      <c r="A23" s="47">
        <v>46080</v>
      </c>
      <c r="B23" s="48"/>
      <c r="C23" s="29" t="s">
        <v>47</v>
      </c>
      <c r="D23" s="29" t="s">
        <v>48</v>
      </c>
      <c r="E23" s="29">
        <v>10</v>
      </c>
      <c r="F23" s="33">
        <v>7800</v>
      </c>
      <c r="G23" s="32">
        <v>78000</v>
      </c>
      <c r="H23" s="33">
        <f t="shared" si="0"/>
        <v>7800</v>
      </c>
    </row>
    <row r="24" spans="1:8" s="28" customFormat="1" ht="30" customHeight="1" x14ac:dyDescent="0.2">
      <c r="A24" s="47">
        <v>46080</v>
      </c>
      <c r="B24" s="48"/>
      <c r="C24" s="29" t="s">
        <v>49</v>
      </c>
      <c r="D24" s="29"/>
      <c r="E24" s="29">
        <v>2</v>
      </c>
      <c r="F24" s="33">
        <v>24000</v>
      </c>
      <c r="G24" s="32">
        <v>48000</v>
      </c>
      <c r="H24" s="33">
        <f t="shared" si="0"/>
        <v>4800</v>
      </c>
    </row>
    <row r="25" spans="1:8" s="28" customFormat="1" ht="30" customHeight="1" x14ac:dyDescent="0.2">
      <c r="A25" s="47">
        <v>46080</v>
      </c>
      <c r="B25" s="48"/>
      <c r="C25" s="29" t="s">
        <v>50</v>
      </c>
      <c r="D25" s="29"/>
      <c r="E25" s="29">
        <v>2</v>
      </c>
      <c r="F25" s="33">
        <v>28000</v>
      </c>
      <c r="G25" s="32">
        <v>56000</v>
      </c>
      <c r="H25" s="33">
        <f t="shared" si="0"/>
        <v>5600</v>
      </c>
    </row>
    <row r="26" spans="1:8" s="28" customFormat="1" ht="30" customHeight="1" x14ac:dyDescent="0.2">
      <c r="A26" s="47">
        <v>46080</v>
      </c>
      <c r="B26" s="48"/>
      <c r="C26" s="29" t="s">
        <v>51</v>
      </c>
      <c r="D26" s="29"/>
      <c r="E26" s="29">
        <v>2</v>
      </c>
      <c r="F26" s="33">
        <v>91000</v>
      </c>
      <c r="G26" s="32">
        <v>182000</v>
      </c>
      <c r="H26" s="33">
        <f t="shared" si="0"/>
        <v>18200</v>
      </c>
    </row>
    <row r="27" spans="1:8" s="28" customFormat="1" ht="30" customHeight="1" x14ac:dyDescent="0.2">
      <c r="A27" s="47">
        <v>46080</v>
      </c>
      <c r="B27" s="48"/>
      <c r="C27" s="29" t="s">
        <v>52</v>
      </c>
      <c r="D27" s="29" t="s">
        <v>53</v>
      </c>
      <c r="E27" s="29">
        <v>5</v>
      </c>
      <c r="F27" s="33">
        <v>4500</v>
      </c>
      <c r="G27" s="32">
        <v>22500</v>
      </c>
      <c r="H27" s="33">
        <f t="shared" si="0"/>
        <v>2250</v>
      </c>
    </row>
    <row r="28" spans="1:8" s="28" customFormat="1" ht="30" customHeight="1" x14ac:dyDescent="0.2">
      <c r="A28" s="47">
        <v>46080</v>
      </c>
      <c r="B28" s="48"/>
      <c r="C28" s="29" t="s">
        <v>54</v>
      </c>
      <c r="D28" s="29"/>
      <c r="E28" s="29">
        <v>30</v>
      </c>
      <c r="F28" s="33">
        <v>3500</v>
      </c>
      <c r="G28" s="32">
        <v>105000</v>
      </c>
      <c r="H28" s="33">
        <f t="shared" si="0"/>
        <v>10500</v>
      </c>
    </row>
    <row r="29" spans="1:8" s="28" customFormat="1" ht="30" customHeight="1" x14ac:dyDescent="0.2">
      <c r="A29" s="47">
        <v>46080</v>
      </c>
      <c r="B29" s="48"/>
      <c r="C29" s="29" t="s">
        <v>55</v>
      </c>
      <c r="D29" s="29"/>
      <c r="E29" s="29">
        <v>20</v>
      </c>
      <c r="F29" s="33">
        <v>3300</v>
      </c>
      <c r="G29" s="32">
        <v>66000</v>
      </c>
      <c r="H29" s="33">
        <f t="shared" si="0"/>
        <v>6600</v>
      </c>
    </row>
    <row r="30" spans="1:8" s="28" customFormat="1" ht="30" customHeight="1" x14ac:dyDescent="0.2">
      <c r="A30" s="47">
        <v>46080</v>
      </c>
      <c r="B30" s="48"/>
      <c r="C30" s="29" t="s">
        <v>56</v>
      </c>
      <c r="D30" s="29"/>
      <c r="E30" s="29">
        <v>10</v>
      </c>
      <c r="F30" s="33">
        <v>2350</v>
      </c>
      <c r="G30" s="32">
        <v>23500</v>
      </c>
      <c r="H30" s="33">
        <f t="shared" si="0"/>
        <v>2350</v>
      </c>
    </row>
    <row r="31" spans="1:8" s="28" customFormat="1" ht="30" customHeight="1" x14ac:dyDescent="0.2">
      <c r="A31" s="47">
        <v>46080</v>
      </c>
      <c r="B31" s="48"/>
      <c r="C31" s="29" t="s">
        <v>57</v>
      </c>
      <c r="D31" s="29"/>
      <c r="E31" s="29">
        <v>20</v>
      </c>
      <c r="F31" s="33">
        <v>4500</v>
      </c>
      <c r="G31" s="32">
        <v>90000</v>
      </c>
      <c r="H31" s="33">
        <f t="shared" si="0"/>
        <v>9000</v>
      </c>
    </row>
    <row r="32" spans="1:8" s="28" customFormat="1" ht="30" customHeight="1" x14ac:dyDescent="0.2">
      <c r="A32" s="47">
        <v>46080</v>
      </c>
      <c r="B32" s="48"/>
      <c r="C32" s="29" t="s">
        <v>58</v>
      </c>
      <c r="D32" s="29" t="s">
        <v>59</v>
      </c>
      <c r="E32" s="29">
        <v>5</v>
      </c>
      <c r="F32" s="33">
        <v>27000</v>
      </c>
      <c r="G32" s="32">
        <v>135000</v>
      </c>
      <c r="H32" s="33">
        <f t="shared" si="0"/>
        <v>13500</v>
      </c>
    </row>
    <row r="33" spans="1:8" s="28" customFormat="1" ht="30" customHeight="1" x14ac:dyDescent="0.2">
      <c r="A33" s="47">
        <v>46080</v>
      </c>
      <c r="B33" s="48"/>
      <c r="C33" s="29" t="s">
        <v>60</v>
      </c>
      <c r="D33" s="29"/>
      <c r="E33" s="29">
        <v>2</v>
      </c>
      <c r="F33" s="33">
        <v>53000</v>
      </c>
      <c r="G33" s="32">
        <v>106000</v>
      </c>
      <c r="H33" s="33">
        <f t="shared" si="0"/>
        <v>10600</v>
      </c>
    </row>
    <row r="34" spans="1:8" s="28" customFormat="1" ht="30" customHeight="1" x14ac:dyDescent="0.2">
      <c r="A34" s="47">
        <v>46080</v>
      </c>
      <c r="B34" s="48"/>
      <c r="C34" s="29" t="s">
        <v>61</v>
      </c>
      <c r="D34" s="29"/>
      <c r="E34" s="29">
        <v>2</v>
      </c>
      <c r="F34" s="33">
        <v>520000</v>
      </c>
      <c r="G34" s="32">
        <v>1040000</v>
      </c>
      <c r="H34" s="33">
        <f t="shared" si="0"/>
        <v>104000</v>
      </c>
    </row>
    <row r="35" spans="1:8" s="28" customFormat="1" ht="42.75" customHeight="1" x14ac:dyDescent="0.2">
      <c r="A35" s="50" t="s">
        <v>10</v>
      </c>
      <c r="B35" s="51"/>
      <c r="C35" s="51"/>
      <c r="D35" s="51"/>
      <c r="E35" s="51"/>
      <c r="F35" s="52"/>
      <c r="G35" s="53">
        <f>SUM(G13:G34)</f>
        <v>3870000</v>
      </c>
      <c r="H35" s="54"/>
    </row>
    <row r="36" spans="1:8" ht="42.75" customHeight="1" x14ac:dyDescent="0.2">
      <c r="A36" s="50" t="s">
        <v>11</v>
      </c>
      <c r="B36" s="51"/>
      <c r="C36" s="51"/>
      <c r="D36" s="51"/>
      <c r="E36" s="51"/>
      <c r="F36" s="52"/>
      <c r="G36" s="53">
        <f>SUM(H13:H34)</f>
        <v>387000</v>
      </c>
      <c r="H36" s="54"/>
    </row>
    <row r="37" spans="1:8" ht="42.75" customHeight="1" x14ac:dyDescent="0.2">
      <c r="A37" s="50" t="s">
        <v>12</v>
      </c>
      <c r="B37" s="51"/>
      <c r="C37" s="51"/>
      <c r="D37" s="51"/>
      <c r="E37" s="51"/>
      <c r="F37" s="52"/>
      <c r="G37" s="53">
        <f>SUM(G35:G36)</f>
        <v>4257000</v>
      </c>
      <c r="H37" s="54"/>
    </row>
    <row r="38" spans="1:8" ht="15" x14ac:dyDescent="0.2">
      <c r="A38" s="19"/>
      <c r="B38" s="19"/>
      <c r="C38" s="2"/>
      <c r="D38" s="3"/>
      <c r="E38" s="2"/>
      <c r="F38" s="23"/>
      <c r="G38" s="4"/>
      <c r="H38" s="5"/>
    </row>
  </sheetData>
  <autoFilter ref="A12:H37" xr:uid="{BD5C388C-0455-410E-9658-558FBAE41641}">
    <filterColumn colId="0" showButton="0"/>
  </autoFilter>
  <mergeCells count="45">
    <mergeCell ref="A33:B33"/>
    <mergeCell ref="A37:F37"/>
    <mergeCell ref="G37:H37"/>
    <mergeCell ref="A29:B29"/>
    <mergeCell ref="A23:B23"/>
    <mergeCell ref="A24:B24"/>
    <mergeCell ref="A25:B25"/>
    <mergeCell ref="A26:B26"/>
    <mergeCell ref="A34:B34"/>
    <mergeCell ref="A35:F35"/>
    <mergeCell ref="G35:H35"/>
    <mergeCell ref="A36:F36"/>
    <mergeCell ref="G36:H36"/>
    <mergeCell ref="A27:B27"/>
    <mergeCell ref="A28:B28"/>
    <mergeCell ref="A30:B30"/>
    <mergeCell ref="A31:B31"/>
    <mergeCell ref="A32:B32"/>
    <mergeCell ref="A21:B21"/>
    <mergeCell ref="A12:B12"/>
    <mergeCell ref="A13:B13"/>
    <mergeCell ref="A14:B14"/>
    <mergeCell ref="A15:B15"/>
    <mergeCell ref="A16:B16"/>
    <mergeCell ref="A22:B22"/>
    <mergeCell ref="A17:B17"/>
    <mergeCell ref="A18:B18"/>
    <mergeCell ref="A19:B19"/>
    <mergeCell ref="A20:B20"/>
    <mergeCell ref="F10:H10"/>
    <mergeCell ref="A11:H11"/>
    <mergeCell ref="F3:H3"/>
    <mergeCell ref="A4:D4"/>
    <mergeCell ref="A5:A9"/>
    <mergeCell ref="B5:D5"/>
    <mergeCell ref="E5:E9"/>
    <mergeCell ref="F5:H5"/>
    <mergeCell ref="B6:D6"/>
    <mergeCell ref="F6:H6"/>
    <mergeCell ref="B7:D7"/>
    <mergeCell ref="F7:H7"/>
    <mergeCell ref="B8:D8"/>
    <mergeCell ref="F8:H8"/>
    <mergeCell ref="B9:D9"/>
    <mergeCell ref="F9:H9"/>
  </mergeCells>
  <phoneticPr fontId="14" type="noConversion"/>
  <pageMargins left="0.16" right="0.11" top="0.16" bottom="0.16" header="0.16" footer="0.16"/>
  <pageSetup paperSize="9" scale="60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C9C01-E245-4A28-BD29-9FEEBA5D9344}">
  <sheetPr>
    <pageSetUpPr fitToPage="1"/>
  </sheetPr>
  <dimension ref="A1:H44"/>
  <sheetViews>
    <sheetView zoomScale="75" zoomScaleNormal="75" workbookViewId="0">
      <selection activeCell="C13" sqref="C13:G40"/>
    </sheetView>
  </sheetViews>
  <sheetFormatPr defaultRowHeight="12.75" x14ac:dyDescent="0.2"/>
  <cols>
    <col min="1" max="1" width="7.28515625" style="20" customWidth="1"/>
    <col min="2" max="2" width="9.85546875" style="20" customWidth="1"/>
    <col min="3" max="3" width="36" customWidth="1"/>
    <col min="4" max="4" width="24.42578125" style="1" customWidth="1"/>
    <col min="5" max="5" width="12.85546875" customWidth="1"/>
    <col min="6" max="6" width="19.140625" style="24" customWidth="1"/>
    <col min="7" max="7" width="25.140625" customWidth="1"/>
    <col min="8" max="8" width="15" customWidth="1"/>
  </cols>
  <sheetData>
    <row r="1" spans="1:8" s="9" customFormat="1" ht="30" customHeight="1" x14ac:dyDescent="0.35">
      <c r="A1" s="16"/>
      <c r="B1" s="17"/>
      <c r="C1" s="7"/>
      <c r="D1" s="8"/>
      <c r="E1" s="7"/>
      <c r="F1" s="21"/>
      <c r="G1" s="7"/>
      <c r="H1" s="7"/>
    </row>
    <row r="2" spans="1:8" s="9" customFormat="1" ht="30" customHeight="1" x14ac:dyDescent="0.35">
      <c r="A2" s="16"/>
      <c r="B2" s="17"/>
      <c r="C2" s="6"/>
      <c r="D2" s="10"/>
      <c r="E2" s="30" t="s">
        <v>0</v>
      </c>
      <c r="F2" s="22"/>
      <c r="G2" s="11"/>
      <c r="H2" s="11"/>
    </row>
    <row r="3" spans="1:8" s="9" customFormat="1" ht="30" customHeight="1" x14ac:dyDescent="0.35">
      <c r="A3" s="16"/>
      <c r="B3" s="17"/>
      <c r="C3" s="25"/>
      <c r="D3" s="25"/>
      <c r="E3" s="25"/>
      <c r="F3" s="39"/>
      <c r="G3" s="39"/>
      <c r="H3" s="39"/>
    </row>
    <row r="4" spans="1:8" s="9" customFormat="1" ht="30" customHeight="1" x14ac:dyDescent="0.35">
      <c r="A4" s="40" t="str">
        <f>안전!A4</f>
        <v>기  간: 2026-02-01부터 2026-02-28까지</v>
      </c>
      <c r="B4" s="40"/>
      <c r="C4" s="40"/>
      <c r="D4" s="40"/>
      <c r="E4" s="12" t="str">
        <f>안전!E4</f>
        <v>거래처:TKG태광그룹 15,16F 인테리어 공사</v>
      </c>
      <c r="F4" s="13"/>
      <c r="G4" s="12"/>
      <c r="H4" s="13"/>
    </row>
    <row r="5" spans="1:8" s="9" customFormat="1" ht="30" customHeight="1" x14ac:dyDescent="0.35">
      <c r="A5" s="41" t="s">
        <v>1</v>
      </c>
      <c r="B5" s="42" t="s">
        <v>2</v>
      </c>
      <c r="C5" s="43"/>
      <c r="D5" s="44"/>
      <c r="E5" s="45" t="s">
        <v>3</v>
      </c>
      <c r="F5" s="46" t="s">
        <v>19</v>
      </c>
      <c r="G5" s="46"/>
      <c r="H5" s="46"/>
    </row>
    <row r="6" spans="1:8" s="9" customFormat="1" ht="29.25" customHeight="1" x14ac:dyDescent="0.35">
      <c r="A6" s="41"/>
      <c r="B6" s="36" t="s">
        <v>13</v>
      </c>
      <c r="C6" s="37"/>
      <c r="D6" s="38"/>
      <c r="E6" s="45"/>
      <c r="F6" s="35" t="s">
        <v>20</v>
      </c>
      <c r="G6" s="35"/>
      <c r="H6" s="35"/>
    </row>
    <row r="7" spans="1:8" s="9" customFormat="1" ht="30" customHeight="1" x14ac:dyDescent="0.35">
      <c r="A7" s="41"/>
      <c r="B7" s="36" t="s">
        <v>14</v>
      </c>
      <c r="C7" s="37"/>
      <c r="D7" s="38"/>
      <c r="E7" s="45"/>
      <c r="F7" s="35" t="s">
        <v>21</v>
      </c>
      <c r="G7" s="35"/>
      <c r="H7" s="35"/>
    </row>
    <row r="8" spans="1:8" s="9" customFormat="1" ht="30" customHeight="1" x14ac:dyDescent="0.35">
      <c r="A8" s="41"/>
      <c r="B8" s="36" t="s">
        <v>15</v>
      </c>
      <c r="C8" s="37"/>
      <c r="D8" s="38"/>
      <c r="E8" s="45"/>
      <c r="F8" s="35" t="s">
        <v>23</v>
      </c>
      <c r="G8" s="35"/>
      <c r="H8" s="35"/>
    </row>
    <row r="9" spans="1:8" s="9" customFormat="1" ht="30" customHeight="1" x14ac:dyDescent="0.35">
      <c r="A9" s="41"/>
      <c r="B9" s="36" t="s">
        <v>16</v>
      </c>
      <c r="C9" s="37"/>
      <c r="D9" s="38"/>
      <c r="E9" s="45"/>
      <c r="F9" s="35" t="s">
        <v>24</v>
      </c>
      <c r="G9" s="35"/>
      <c r="H9" s="35"/>
    </row>
    <row r="10" spans="1:8" s="9" customFormat="1" ht="30" customHeight="1" x14ac:dyDescent="0.35">
      <c r="A10" s="18"/>
      <c r="B10" s="18" t="s">
        <v>17</v>
      </c>
      <c r="C10" s="14"/>
      <c r="D10" s="15"/>
      <c r="E10" s="14"/>
      <c r="F10" s="35" t="s">
        <v>22</v>
      </c>
      <c r="G10" s="35"/>
      <c r="H10" s="35"/>
    </row>
    <row r="11" spans="1:8" s="9" customFormat="1" ht="30" customHeight="1" x14ac:dyDescent="0.35">
      <c r="A11" s="36" t="s">
        <v>25</v>
      </c>
      <c r="B11" s="37"/>
      <c r="C11" s="37"/>
      <c r="D11" s="37"/>
      <c r="E11" s="37"/>
      <c r="F11" s="37"/>
      <c r="G11" s="37"/>
      <c r="H11" s="38"/>
    </row>
    <row r="12" spans="1:8" s="28" customFormat="1" ht="30" customHeight="1" x14ac:dyDescent="0.2">
      <c r="A12" s="49" t="s">
        <v>4</v>
      </c>
      <c r="B12" s="49"/>
      <c r="C12" s="26" t="s">
        <v>5</v>
      </c>
      <c r="D12" s="26" t="s">
        <v>6</v>
      </c>
      <c r="E12" s="26" t="s">
        <v>7</v>
      </c>
      <c r="F12" s="27" t="s">
        <v>8</v>
      </c>
      <c r="G12" s="27" t="s">
        <v>9</v>
      </c>
      <c r="H12" s="27" t="s">
        <v>11</v>
      </c>
    </row>
    <row r="13" spans="1:8" s="28" customFormat="1" ht="30" customHeight="1" x14ac:dyDescent="0.2">
      <c r="A13" s="47">
        <v>46080</v>
      </c>
      <c r="B13" s="48"/>
      <c r="C13" s="29" t="s">
        <v>27</v>
      </c>
      <c r="D13" s="29"/>
      <c r="E13" s="29">
        <v>10</v>
      </c>
      <c r="F13" s="33">
        <v>37500</v>
      </c>
      <c r="G13" s="32">
        <v>375000</v>
      </c>
      <c r="H13" s="33">
        <f t="shared" ref="H13:H40" si="0">G13*0.1</f>
        <v>37500</v>
      </c>
    </row>
    <row r="14" spans="1:8" s="28" customFormat="1" ht="30" customHeight="1" x14ac:dyDescent="0.2">
      <c r="A14" s="47">
        <v>46080</v>
      </c>
      <c r="B14" s="48"/>
      <c r="C14" s="29" t="s">
        <v>29</v>
      </c>
      <c r="D14" s="29" t="s">
        <v>30</v>
      </c>
      <c r="E14" s="29">
        <v>200</v>
      </c>
      <c r="F14" s="33">
        <v>2200</v>
      </c>
      <c r="G14" s="32">
        <v>440000</v>
      </c>
      <c r="H14" s="33">
        <f t="shared" si="0"/>
        <v>44000</v>
      </c>
    </row>
    <row r="15" spans="1:8" s="28" customFormat="1" ht="30" customHeight="1" x14ac:dyDescent="0.2">
      <c r="A15" s="47">
        <v>46080</v>
      </c>
      <c r="B15" s="48"/>
      <c r="C15" s="29" t="s">
        <v>62</v>
      </c>
      <c r="D15" s="29" t="s">
        <v>63</v>
      </c>
      <c r="E15" s="29">
        <v>100</v>
      </c>
      <c r="F15" s="33">
        <v>750</v>
      </c>
      <c r="G15" s="32">
        <v>75000</v>
      </c>
      <c r="H15" s="33">
        <f t="shared" ref="H15" si="1">G15*0.1</f>
        <v>7500</v>
      </c>
    </row>
    <row r="16" spans="1:8" s="28" customFormat="1" ht="30" customHeight="1" x14ac:dyDescent="0.2">
      <c r="A16" s="47">
        <v>46080</v>
      </c>
      <c r="B16" s="48"/>
      <c r="C16" s="29" t="s">
        <v>64</v>
      </c>
      <c r="D16" s="29" t="s">
        <v>65</v>
      </c>
      <c r="E16" s="29">
        <v>72</v>
      </c>
      <c r="F16" s="33">
        <v>2000</v>
      </c>
      <c r="G16" s="32">
        <v>144000</v>
      </c>
      <c r="H16" s="33">
        <f t="shared" si="0"/>
        <v>14400</v>
      </c>
    </row>
    <row r="17" spans="1:8" s="28" customFormat="1" ht="30" customHeight="1" x14ac:dyDescent="0.2">
      <c r="A17" s="47">
        <v>46080</v>
      </c>
      <c r="B17" s="48"/>
      <c r="C17" s="29" t="s">
        <v>28</v>
      </c>
      <c r="D17" s="29" t="s">
        <v>66</v>
      </c>
      <c r="E17" s="29">
        <v>200</v>
      </c>
      <c r="F17" s="33">
        <v>140</v>
      </c>
      <c r="G17" s="32">
        <v>28000</v>
      </c>
      <c r="H17" s="33">
        <f t="shared" si="0"/>
        <v>2800</v>
      </c>
    </row>
    <row r="18" spans="1:8" s="28" customFormat="1" ht="30" customHeight="1" x14ac:dyDescent="0.2">
      <c r="A18" s="47">
        <v>46080</v>
      </c>
      <c r="B18" s="48"/>
      <c r="C18" s="29" t="s">
        <v>67</v>
      </c>
      <c r="D18" s="29"/>
      <c r="E18" s="29">
        <v>4</v>
      </c>
      <c r="F18" s="33">
        <v>3300</v>
      </c>
      <c r="G18" s="32">
        <v>13200</v>
      </c>
      <c r="H18" s="33">
        <f t="shared" si="0"/>
        <v>1320</v>
      </c>
    </row>
    <row r="19" spans="1:8" s="28" customFormat="1" ht="30" customHeight="1" x14ac:dyDescent="0.2">
      <c r="A19" s="47">
        <v>46080</v>
      </c>
      <c r="B19" s="48"/>
      <c r="C19" s="29" t="s">
        <v>31</v>
      </c>
      <c r="D19" s="29" t="s">
        <v>32</v>
      </c>
      <c r="E19" s="29">
        <v>4</v>
      </c>
      <c r="F19" s="33">
        <v>3300</v>
      </c>
      <c r="G19" s="32">
        <v>13200</v>
      </c>
      <c r="H19" s="33">
        <f t="shared" si="0"/>
        <v>1320</v>
      </c>
    </row>
    <row r="20" spans="1:8" s="28" customFormat="1" ht="30" customHeight="1" x14ac:dyDescent="0.2">
      <c r="A20" s="47">
        <v>46080</v>
      </c>
      <c r="B20" s="48"/>
      <c r="C20" s="29" t="s">
        <v>33</v>
      </c>
      <c r="D20" s="29"/>
      <c r="E20" s="29">
        <v>4</v>
      </c>
      <c r="F20" s="33">
        <v>8000</v>
      </c>
      <c r="G20" s="32">
        <v>32000</v>
      </c>
      <c r="H20" s="33">
        <f t="shared" si="0"/>
        <v>3200</v>
      </c>
    </row>
    <row r="21" spans="1:8" s="28" customFormat="1" ht="30" customHeight="1" x14ac:dyDescent="0.2">
      <c r="A21" s="47">
        <v>46080</v>
      </c>
      <c r="B21" s="48"/>
      <c r="C21" s="31" t="s">
        <v>68</v>
      </c>
      <c r="D21" s="31" t="s">
        <v>69</v>
      </c>
      <c r="E21" s="31">
        <v>5</v>
      </c>
      <c r="F21" s="34">
        <v>4700</v>
      </c>
      <c r="G21" s="34">
        <v>23500</v>
      </c>
      <c r="H21" s="33">
        <f t="shared" si="0"/>
        <v>2350</v>
      </c>
    </row>
    <row r="22" spans="1:8" s="28" customFormat="1" ht="30" customHeight="1" x14ac:dyDescent="0.2">
      <c r="A22" s="47">
        <v>46080</v>
      </c>
      <c r="B22" s="48"/>
      <c r="C22" s="31" t="s">
        <v>70</v>
      </c>
      <c r="D22" s="31"/>
      <c r="E22" s="31">
        <v>5</v>
      </c>
      <c r="F22" s="34">
        <v>1150</v>
      </c>
      <c r="G22" s="34">
        <v>5750</v>
      </c>
      <c r="H22" s="33">
        <f t="shared" si="0"/>
        <v>575</v>
      </c>
    </row>
    <row r="23" spans="1:8" s="28" customFormat="1" ht="30" customHeight="1" x14ac:dyDescent="0.2">
      <c r="A23" s="47">
        <v>46080</v>
      </c>
      <c r="B23" s="48"/>
      <c r="C23" s="31" t="s">
        <v>71</v>
      </c>
      <c r="D23" s="31" t="s">
        <v>72</v>
      </c>
      <c r="E23" s="31">
        <v>5</v>
      </c>
      <c r="F23" s="34">
        <v>1150</v>
      </c>
      <c r="G23" s="34">
        <v>5750</v>
      </c>
      <c r="H23" s="33">
        <f t="shared" si="0"/>
        <v>575</v>
      </c>
    </row>
    <row r="24" spans="1:8" s="28" customFormat="1" ht="30" customHeight="1" x14ac:dyDescent="0.2">
      <c r="A24" s="47">
        <v>46080</v>
      </c>
      <c r="B24" s="48"/>
      <c r="C24" s="31" t="s">
        <v>73</v>
      </c>
      <c r="D24" s="31" t="s">
        <v>74</v>
      </c>
      <c r="E24" s="31">
        <v>2</v>
      </c>
      <c r="F24" s="34">
        <v>21000</v>
      </c>
      <c r="G24" s="34">
        <v>42000</v>
      </c>
      <c r="H24" s="33">
        <f t="shared" si="0"/>
        <v>4200</v>
      </c>
    </row>
    <row r="25" spans="1:8" s="28" customFormat="1" ht="30" customHeight="1" x14ac:dyDescent="0.2">
      <c r="A25" s="47">
        <v>46080</v>
      </c>
      <c r="B25" s="48"/>
      <c r="C25" s="31" t="s">
        <v>75</v>
      </c>
      <c r="D25" s="31"/>
      <c r="E25" s="31">
        <v>1</v>
      </c>
      <c r="F25" s="34">
        <v>50000</v>
      </c>
      <c r="G25" s="34">
        <v>50000</v>
      </c>
      <c r="H25" s="33">
        <f t="shared" si="0"/>
        <v>5000</v>
      </c>
    </row>
    <row r="26" spans="1:8" s="28" customFormat="1" ht="30" customHeight="1" x14ac:dyDescent="0.2">
      <c r="A26" s="47">
        <v>46080</v>
      </c>
      <c r="B26" s="48"/>
      <c r="C26" s="31" t="s">
        <v>76</v>
      </c>
      <c r="D26" s="31"/>
      <c r="E26" s="31">
        <v>2</v>
      </c>
      <c r="F26" s="34">
        <v>64000</v>
      </c>
      <c r="G26" s="34">
        <v>128000</v>
      </c>
      <c r="H26" s="33">
        <f t="shared" si="0"/>
        <v>12800</v>
      </c>
    </row>
    <row r="27" spans="1:8" s="28" customFormat="1" ht="30" customHeight="1" x14ac:dyDescent="0.2">
      <c r="A27" s="47">
        <v>46080</v>
      </c>
      <c r="B27" s="48"/>
      <c r="C27" s="31" t="s">
        <v>77</v>
      </c>
      <c r="D27" s="31" t="s">
        <v>78</v>
      </c>
      <c r="E27" s="31">
        <v>10</v>
      </c>
      <c r="F27" s="34">
        <v>1050</v>
      </c>
      <c r="G27" s="34">
        <v>10500</v>
      </c>
      <c r="H27" s="33">
        <f t="shared" si="0"/>
        <v>1050</v>
      </c>
    </row>
    <row r="28" spans="1:8" s="28" customFormat="1" ht="30" customHeight="1" x14ac:dyDescent="0.2">
      <c r="A28" s="47">
        <v>46080</v>
      </c>
      <c r="B28" s="48"/>
      <c r="C28" s="31" t="s">
        <v>77</v>
      </c>
      <c r="D28" s="31" t="s">
        <v>79</v>
      </c>
      <c r="E28" s="31">
        <v>10</v>
      </c>
      <c r="F28" s="34">
        <v>1050</v>
      </c>
      <c r="G28" s="34">
        <v>10500</v>
      </c>
      <c r="H28" s="33">
        <f t="shared" si="0"/>
        <v>1050</v>
      </c>
    </row>
    <row r="29" spans="1:8" s="28" customFormat="1" ht="30" customHeight="1" x14ac:dyDescent="0.2">
      <c r="A29" s="47">
        <v>46080</v>
      </c>
      <c r="B29" s="48"/>
      <c r="C29" s="31" t="s">
        <v>77</v>
      </c>
      <c r="D29" s="31" t="s">
        <v>80</v>
      </c>
      <c r="E29" s="31">
        <v>10</v>
      </c>
      <c r="F29" s="34">
        <v>1050</v>
      </c>
      <c r="G29" s="34">
        <v>10500</v>
      </c>
      <c r="H29" s="33">
        <f t="shared" si="0"/>
        <v>1050</v>
      </c>
    </row>
    <row r="30" spans="1:8" s="28" customFormat="1" ht="30" customHeight="1" x14ac:dyDescent="0.2">
      <c r="A30" s="47">
        <v>46080</v>
      </c>
      <c r="B30" s="48"/>
      <c r="C30" s="31" t="s">
        <v>81</v>
      </c>
      <c r="D30" s="31"/>
      <c r="E30" s="31">
        <v>100</v>
      </c>
      <c r="F30" s="34">
        <v>260</v>
      </c>
      <c r="G30" s="34">
        <v>26000</v>
      </c>
      <c r="H30" s="33">
        <f t="shared" si="0"/>
        <v>2600</v>
      </c>
    </row>
    <row r="31" spans="1:8" s="28" customFormat="1" ht="30" customHeight="1" x14ac:dyDescent="0.2">
      <c r="A31" s="47">
        <v>46080</v>
      </c>
      <c r="B31" s="48"/>
      <c r="C31" s="31" t="s">
        <v>82</v>
      </c>
      <c r="D31" s="31" t="s">
        <v>78</v>
      </c>
      <c r="E31" s="31">
        <v>5</v>
      </c>
      <c r="F31" s="34">
        <v>1900</v>
      </c>
      <c r="G31" s="34">
        <v>9500</v>
      </c>
      <c r="H31" s="33">
        <f t="shared" si="0"/>
        <v>950</v>
      </c>
    </row>
    <row r="32" spans="1:8" s="28" customFormat="1" ht="30" customHeight="1" x14ac:dyDescent="0.2">
      <c r="A32" s="47">
        <v>46080</v>
      </c>
      <c r="B32" s="48"/>
      <c r="C32" s="31" t="s">
        <v>83</v>
      </c>
      <c r="D32" s="31" t="s">
        <v>84</v>
      </c>
      <c r="E32" s="31">
        <v>90</v>
      </c>
      <c r="F32" s="34">
        <v>3900</v>
      </c>
      <c r="G32" s="34">
        <v>351000</v>
      </c>
      <c r="H32" s="33">
        <f t="shared" si="0"/>
        <v>35100</v>
      </c>
    </row>
    <row r="33" spans="1:8" s="28" customFormat="1" ht="30" customHeight="1" x14ac:dyDescent="0.2">
      <c r="A33" s="47">
        <v>46080</v>
      </c>
      <c r="B33" s="48"/>
      <c r="C33" s="31" t="s">
        <v>85</v>
      </c>
      <c r="D33" s="31" t="s">
        <v>86</v>
      </c>
      <c r="E33" s="31">
        <v>5</v>
      </c>
      <c r="F33" s="34">
        <v>1300</v>
      </c>
      <c r="G33" s="34">
        <v>6500</v>
      </c>
      <c r="H33" s="33">
        <f t="shared" si="0"/>
        <v>650</v>
      </c>
    </row>
    <row r="34" spans="1:8" s="28" customFormat="1" ht="30" customHeight="1" x14ac:dyDescent="0.2">
      <c r="A34" s="47">
        <v>46080</v>
      </c>
      <c r="B34" s="48"/>
      <c r="C34" s="31" t="s">
        <v>87</v>
      </c>
      <c r="D34" s="31"/>
      <c r="E34" s="31">
        <v>5</v>
      </c>
      <c r="F34" s="34">
        <v>700</v>
      </c>
      <c r="G34" s="34">
        <v>3500</v>
      </c>
      <c r="H34" s="33">
        <f t="shared" si="0"/>
        <v>350</v>
      </c>
    </row>
    <row r="35" spans="1:8" s="28" customFormat="1" ht="30" customHeight="1" x14ac:dyDescent="0.2">
      <c r="A35" s="47">
        <v>46080</v>
      </c>
      <c r="B35" s="48"/>
      <c r="C35" s="31" t="s">
        <v>88</v>
      </c>
      <c r="D35" s="31" t="s">
        <v>89</v>
      </c>
      <c r="E35" s="31">
        <v>5</v>
      </c>
      <c r="F35" s="34">
        <v>5500</v>
      </c>
      <c r="G35" s="34">
        <v>27500</v>
      </c>
      <c r="H35" s="33">
        <f t="shared" si="0"/>
        <v>2750</v>
      </c>
    </row>
    <row r="36" spans="1:8" s="28" customFormat="1" ht="30" customHeight="1" x14ac:dyDescent="0.2">
      <c r="A36" s="47">
        <v>46080</v>
      </c>
      <c r="B36" s="48"/>
      <c r="C36" s="31" t="s">
        <v>90</v>
      </c>
      <c r="D36" s="31"/>
      <c r="E36" s="31">
        <v>100</v>
      </c>
      <c r="F36" s="34">
        <v>450</v>
      </c>
      <c r="G36" s="34">
        <v>45000</v>
      </c>
      <c r="H36" s="33">
        <f t="shared" si="0"/>
        <v>4500</v>
      </c>
    </row>
    <row r="37" spans="1:8" s="28" customFormat="1" ht="30" customHeight="1" x14ac:dyDescent="0.2">
      <c r="A37" s="47">
        <v>46080</v>
      </c>
      <c r="B37" s="48"/>
      <c r="C37" s="31" t="s">
        <v>91</v>
      </c>
      <c r="D37" s="31" t="s">
        <v>92</v>
      </c>
      <c r="E37" s="31">
        <v>100</v>
      </c>
      <c r="F37" s="34">
        <v>7000</v>
      </c>
      <c r="G37" s="34">
        <v>700000</v>
      </c>
      <c r="H37" s="33">
        <f t="shared" si="0"/>
        <v>70000</v>
      </c>
    </row>
    <row r="38" spans="1:8" s="28" customFormat="1" ht="30" customHeight="1" x14ac:dyDescent="0.2">
      <c r="A38" s="47">
        <v>46080</v>
      </c>
      <c r="B38" s="48"/>
      <c r="C38" s="31" t="s">
        <v>91</v>
      </c>
      <c r="D38" s="31" t="s">
        <v>40</v>
      </c>
      <c r="E38" s="31">
        <v>5</v>
      </c>
      <c r="F38" s="34">
        <v>7000</v>
      </c>
      <c r="G38" s="34">
        <v>35000</v>
      </c>
      <c r="H38" s="33">
        <f t="shared" si="0"/>
        <v>3500</v>
      </c>
    </row>
    <row r="39" spans="1:8" s="28" customFormat="1" ht="30" customHeight="1" x14ac:dyDescent="0.2">
      <c r="A39" s="47">
        <v>46080</v>
      </c>
      <c r="B39" s="48"/>
      <c r="C39" s="31" t="s">
        <v>91</v>
      </c>
      <c r="D39" s="31" t="s">
        <v>41</v>
      </c>
      <c r="E39" s="31">
        <v>5</v>
      </c>
      <c r="F39" s="34">
        <v>7000</v>
      </c>
      <c r="G39" s="34">
        <v>35000</v>
      </c>
      <c r="H39" s="33">
        <f t="shared" si="0"/>
        <v>3500</v>
      </c>
    </row>
    <row r="40" spans="1:8" s="28" customFormat="1" ht="30" customHeight="1" x14ac:dyDescent="0.2">
      <c r="A40" s="47">
        <v>46080</v>
      </c>
      <c r="B40" s="48"/>
      <c r="C40" s="31" t="s">
        <v>91</v>
      </c>
      <c r="D40" s="31" t="s">
        <v>42</v>
      </c>
      <c r="E40" s="31">
        <v>2</v>
      </c>
      <c r="F40" s="34">
        <v>7000</v>
      </c>
      <c r="G40" s="34">
        <v>14000</v>
      </c>
      <c r="H40" s="33">
        <f t="shared" si="0"/>
        <v>1400</v>
      </c>
    </row>
    <row r="41" spans="1:8" s="28" customFormat="1" ht="42.75" customHeight="1" x14ac:dyDescent="0.2">
      <c r="A41" s="50" t="s">
        <v>10</v>
      </c>
      <c r="B41" s="51"/>
      <c r="C41" s="51"/>
      <c r="D41" s="51"/>
      <c r="E41" s="51"/>
      <c r="F41" s="52"/>
      <c r="G41" s="53">
        <f>SUM(G13:G40)</f>
        <v>2659900</v>
      </c>
      <c r="H41" s="54"/>
    </row>
    <row r="42" spans="1:8" ht="42.75" customHeight="1" x14ac:dyDescent="0.2">
      <c r="A42" s="50" t="s">
        <v>11</v>
      </c>
      <c r="B42" s="51"/>
      <c r="C42" s="51"/>
      <c r="D42" s="51"/>
      <c r="E42" s="51"/>
      <c r="F42" s="52"/>
      <c r="G42" s="53">
        <f>SUM(H13:H40)</f>
        <v>265990</v>
      </c>
      <c r="H42" s="54"/>
    </row>
    <row r="43" spans="1:8" ht="42.75" customHeight="1" x14ac:dyDescent="0.2">
      <c r="A43" s="50" t="s">
        <v>12</v>
      </c>
      <c r="B43" s="51"/>
      <c r="C43" s="51"/>
      <c r="D43" s="51"/>
      <c r="E43" s="51"/>
      <c r="F43" s="52"/>
      <c r="G43" s="53">
        <f>SUM(G41:G42)</f>
        <v>2925890</v>
      </c>
      <c r="H43" s="54"/>
    </row>
    <row r="44" spans="1:8" ht="15" x14ac:dyDescent="0.2">
      <c r="A44" s="19"/>
      <c r="B44" s="19"/>
      <c r="C44" s="2"/>
      <c r="D44" s="3"/>
      <c r="E44" s="2"/>
      <c r="F44" s="23"/>
      <c r="G44" s="4"/>
      <c r="H44" s="5"/>
    </row>
  </sheetData>
  <autoFilter ref="A12:H43" xr:uid="{BD5C388C-0455-410E-9658-558FBAE41641}">
    <filterColumn colId="0" showButton="0"/>
  </autoFilter>
  <mergeCells count="51">
    <mergeCell ref="A30:B30"/>
    <mergeCell ref="A31:B31"/>
    <mergeCell ref="A32:B32"/>
    <mergeCell ref="A33:B33"/>
    <mergeCell ref="A39:B39"/>
    <mergeCell ref="A34:B34"/>
    <mergeCell ref="A35:B35"/>
    <mergeCell ref="A36:B36"/>
    <mergeCell ref="A37:B37"/>
    <mergeCell ref="A38:B38"/>
    <mergeCell ref="A40:B40"/>
    <mergeCell ref="F10:H10"/>
    <mergeCell ref="A11:H11"/>
    <mergeCell ref="A12:B12"/>
    <mergeCell ref="F3:H3"/>
    <mergeCell ref="A4:D4"/>
    <mergeCell ref="A5:A9"/>
    <mergeCell ref="B5:D5"/>
    <mergeCell ref="E5:E9"/>
    <mergeCell ref="F5:H5"/>
    <mergeCell ref="B6:D6"/>
    <mergeCell ref="F6:H6"/>
    <mergeCell ref="B7:D7"/>
    <mergeCell ref="F7:H7"/>
    <mergeCell ref="F8:H8"/>
    <mergeCell ref="B9:D9"/>
    <mergeCell ref="F9:H9"/>
    <mergeCell ref="B8:D8"/>
    <mergeCell ref="A24:B24"/>
    <mergeCell ref="G43:H43"/>
    <mergeCell ref="A43:F43"/>
    <mergeCell ref="G42:H42"/>
    <mergeCell ref="A42:F42"/>
    <mergeCell ref="G41:H41"/>
    <mergeCell ref="A41:F41"/>
    <mergeCell ref="A29:B29"/>
    <mergeCell ref="A25:B25"/>
    <mergeCell ref="A26:B26"/>
    <mergeCell ref="A27:B27"/>
    <mergeCell ref="A28:B28"/>
    <mergeCell ref="A23:B23"/>
    <mergeCell ref="A19:B19"/>
    <mergeCell ref="A13:B13"/>
    <mergeCell ref="A14:B14"/>
    <mergeCell ref="A15:B15"/>
    <mergeCell ref="A21:B21"/>
    <mergeCell ref="A22:B22"/>
    <mergeCell ref="A16:B16"/>
    <mergeCell ref="A17:B17"/>
    <mergeCell ref="A18:B18"/>
    <mergeCell ref="A20:B20"/>
  </mergeCells>
  <phoneticPr fontId="14" type="noConversion"/>
  <pageMargins left="0.16" right="0.11" top="0.16" bottom="0.16" header="0.16" footer="0.16"/>
  <pageSetup paperSize="9" scale="60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4</vt:i4>
      </vt:variant>
    </vt:vector>
  </HeadingPairs>
  <TitlesOfParts>
    <vt:vector size="6" baseType="lpstr">
      <vt:lpstr>안전</vt:lpstr>
      <vt:lpstr>잡자재</vt:lpstr>
      <vt:lpstr>안전!Print_Area</vt:lpstr>
      <vt:lpstr>잡자재!Print_Area</vt:lpstr>
      <vt:lpstr>안전!Print_Titles</vt:lpstr>
      <vt:lpstr>잡자재!Print_Titles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ANPC</dc:creator>
  <cp:lastModifiedBy>NAMKW</cp:lastModifiedBy>
  <cp:lastPrinted>2021-02-26T06:28:59Z</cp:lastPrinted>
  <dcterms:created xsi:type="dcterms:W3CDTF">2020-05-14T01:26:13Z</dcterms:created>
  <dcterms:modified xsi:type="dcterms:W3CDTF">2026-03-03T13:26:14Z</dcterms:modified>
</cp:coreProperties>
</file>